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riramganeshalingam/Downloads/"/>
    </mc:Choice>
  </mc:AlternateContent>
  <xr:revisionPtr revIDLastSave="0" documentId="13_ncr:1_{24451BA7-A428-E044-B0FC-4D29AD979CD8}" xr6:coauthVersionLast="47" xr6:coauthVersionMax="47" xr10:uidLastSave="{00000000-0000-0000-0000-000000000000}"/>
  <bookViews>
    <workbookView xWindow="0" yWindow="740" windowWidth="29400" windowHeight="18380" activeTab="7" xr2:uid="{00000000-000D-0000-FFFF-FFFF00000000}"/>
  </bookViews>
  <sheets>
    <sheet name="final_phase2_full_costs" sheetId="12" r:id="rId1"/>
    <sheet name="Assumptions" sheetId="1" r:id="rId2"/>
    <sheet name="calculation_sheet" sheetId="10" r:id="rId3"/>
    <sheet name="operation_exp" sheetId="16" r:id="rId4"/>
    <sheet name="final_phase1_full_costs" sheetId="14" r:id="rId5"/>
    <sheet name="Balance_Sheet" sheetId="5" r:id="rId6"/>
    <sheet name="Income_Statement" sheetId="4" r:id="rId7"/>
    <sheet name="cash flow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H11" i="16" s="1"/>
  <c r="E11" i="5"/>
  <c r="E12" i="5"/>
  <c r="E13" i="5"/>
  <c r="E14" i="5"/>
  <c r="E15" i="5"/>
  <c r="E16" i="5"/>
  <c r="E17" i="5"/>
  <c r="E18" i="5"/>
  <c r="H19" i="16" s="1"/>
  <c r="E19" i="5"/>
  <c r="E20" i="5"/>
  <c r="E21" i="5"/>
  <c r="E22" i="5"/>
  <c r="H23" i="16" s="1"/>
  <c r="E23" i="5"/>
  <c r="E24" i="5"/>
  <c r="E25" i="5"/>
  <c r="E26" i="5"/>
  <c r="H27" i="16" s="1"/>
  <c r="E27" i="5"/>
  <c r="E28" i="5"/>
  <c r="E29" i="5"/>
  <c r="E30" i="5"/>
  <c r="E31" i="5"/>
  <c r="E32" i="5"/>
  <c r="E33" i="5"/>
  <c r="E2" i="5"/>
  <c r="H3" i="16" s="1"/>
  <c r="H2" i="16"/>
  <c r="E2" i="4" s="1"/>
  <c r="H4" i="16"/>
  <c r="H5" i="16"/>
  <c r="H6" i="16"/>
  <c r="H7" i="16"/>
  <c r="H8" i="16"/>
  <c r="H9" i="16"/>
  <c r="H10" i="16"/>
  <c r="H12" i="16"/>
  <c r="H13" i="16"/>
  <c r="H14" i="16"/>
  <c r="H15" i="16"/>
  <c r="H16" i="16"/>
  <c r="E16" i="4" s="1"/>
  <c r="H17" i="16"/>
  <c r="H18" i="16"/>
  <c r="H20" i="16"/>
  <c r="H21" i="16"/>
  <c r="H22" i="16"/>
  <c r="H24" i="16"/>
  <c r="H25" i="16"/>
  <c r="H26" i="16"/>
  <c r="H28" i="16"/>
  <c r="H29" i="16"/>
  <c r="H30" i="16"/>
  <c r="H31" i="16"/>
  <c r="H32" i="16"/>
  <c r="H33" i="16"/>
  <c r="H34" i="16"/>
  <c r="C22" i="16"/>
  <c r="C16" i="16"/>
  <c r="C2" i="4"/>
  <c r="AA4" i="14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34" i="16"/>
  <c r="C33" i="16"/>
  <c r="C32" i="16"/>
  <c r="C31" i="16"/>
  <c r="C30" i="16"/>
  <c r="C29" i="16"/>
  <c r="C28" i="16"/>
  <c r="C27" i="16"/>
  <c r="C26" i="16"/>
  <c r="C25" i="16"/>
  <c r="C24" i="16"/>
  <c r="C23" i="16"/>
  <c r="C21" i="16"/>
  <c r="C20" i="16"/>
  <c r="C19" i="16"/>
  <c r="C18" i="16"/>
  <c r="C17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16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15" i="16"/>
  <c r="F13" i="16"/>
  <c r="F14" i="16"/>
  <c r="F3" i="16"/>
  <c r="F4" i="16"/>
  <c r="F5" i="16"/>
  <c r="F6" i="16"/>
  <c r="F7" i="16"/>
  <c r="F8" i="16"/>
  <c r="F9" i="16"/>
  <c r="F10" i="16"/>
  <c r="F11" i="16"/>
  <c r="F12" i="16"/>
  <c r="F2" i="16"/>
  <c r="G139" i="1"/>
  <c r="F139" i="1"/>
  <c r="O34" i="10"/>
  <c r="C34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" i="4"/>
  <c r="E4" i="16"/>
  <c r="B4" i="4" s="1"/>
  <c r="E5" i="16"/>
  <c r="B5" i="4" s="1"/>
  <c r="E12" i="16"/>
  <c r="B12" i="4" s="1"/>
  <c r="D12" i="4" s="1"/>
  <c r="E13" i="16"/>
  <c r="B13" i="4" s="1"/>
  <c r="E2" i="16"/>
  <c r="B2" i="4" s="1"/>
  <c r="E153" i="1"/>
  <c r="F166" i="1"/>
  <c r="E169" i="1" s="1"/>
  <c r="F169" i="1" s="1"/>
  <c r="E143" i="1"/>
  <c r="E3" i="16" s="1"/>
  <c r="E144" i="1"/>
  <c r="E145" i="1"/>
  <c r="E146" i="1"/>
  <c r="E6" i="16" s="1"/>
  <c r="E147" i="1"/>
  <c r="E7" i="16" s="1"/>
  <c r="E148" i="1"/>
  <c r="E8" i="16" s="1"/>
  <c r="B8" i="4" s="1"/>
  <c r="E149" i="1"/>
  <c r="E9" i="16" s="1"/>
  <c r="B9" i="4" s="1"/>
  <c r="E150" i="1"/>
  <c r="E10" i="16" s="1"/>
  <c r="E151" i="1"/>
  <c r="E11" i="16" s="1"/>
  <c r="E152" i="1"/>
  <c r="E142" i="1"/>
  <c r="H80" i="1"/>
  <c r="AA16" i="14"/>
  <c r="AA17" i="14"/>
  <c r="C5" i="5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18" i="14"/>
  <c r="AA6" i="14"/>
  <c r="AA7" i="14"/>
  <c r="AA8" i="14"/>
  <c r="AA9" i="14"/>
  <c r="AA10" i="14"/>
  <c r="AA11" i="14"/>
  <c r="AA12" i="14"/>
  <c r="AA13" i="14"/>
  <c r="AA14" i="14"/>
  <c r="AA15" i="14"/>
  <c r="AA5" i="14"/>
  <c r="Z34" i="14"/>
  <c r="Z30" i="14"/>
  <c r="Z31" i="14" s="1"/>
  <c r="Z32" i="14" s="1"/>
  <c r="Z33" i="14" s="1"/>
  <c r="Z22" i="14"/>
  <c r="Z23" i="14" s="1"/>
  <c r="Z24" i="14" s="1"/>
  <c r="Z25" i="14" s="1"/>
  <c r="Z26" i="14" s="1"/>
  <c r="Z27" i="14" s="1"/>
  <c r="Z28" i="14" s="1"/>
  <c r="Z29" i="14" s="1"/>
  <c r="Z11" i="14"/>
  <c r="Z12" i="14" s="1"/>
  <c r="Z13" i="14" s="1"/>
  <c r="Z14" i="14" s="1"/>
  <c r="Z15" i="14" s="1"/>
  <c r="Z16" i="14" s="1"/>
  <c r="Z17" i="14" s="1"/>
  <c r="Z18" i="14" s="1"/>
  <c r="Z19" i="14" s="1"/>
  <c r="Z20" i="14" s="1"/>
  <c r="Z21" i="14" s="1"/>
  <c r="Z10" i="14"/>
  <c r="C2" i="5"/>
  <c r="C3" i="5" s="1"/>
  <c r="C4" i="5" s="1"/>
  <c r="N2" i="10"/>
  <c r="D34" i="16"/>
  <c r="D26" i="16"/>
  <c r="D27" i="16"/>
  <c r="D28" i="16"/>
  <c r="D29" i="16"/>
  <c r="D30" i="16"/>
  <c r="D31" i="16"/>
  <c r="D32" i="16"/>
  <c r="D3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13" i="16"/>
  <c r="D3" i="16"/>
  <c r="D4" i="16"/>
  <c r="D5" i="16"/>
  <c r="D6" i="16"/>
  <c r="D7" i="16"/>
  <c r="D8" i="16"/>
  <c r="D9" i="16"/>
  <c r="D10" i="16"/>
  <c r="D11" i="16"/>
  <c r="D12" i="16"/>
  <c r="D2" i="16"/>
  <c r="V315" i="14"/>
  <c r="V314" i="14"/>
  <c r="V313" i="14"/>
  <c r="V312" i="14"/>
  <c r="V311" i="14"/>
  <c r="V309" i="14"/>
  <c r="V308" i="14"/>
  <c r="V307" i="14"/>
  <c r="V306" i="14"/>
  <c r="V305" i="14"/>
  <c r="V304" i="14"/>
  <c r="V303" i="14"/>
  <c r="V302" i="14"/>
  <c r="V301" i="14"/>
  <c r="V310" i="14" s="1"/>
  <c r="V300" i="14"/>
  <c r="V299" i="14"/>
  <c r="V298" i="14"/>
  <c r="V296" i="14"/>
  <c r="V295" i="14"/>
  <c r="V294" i="14"/>
  <c r="V293" i="14"/>
  <c r="V292" i="14"/>
  <c r="V291" i="14"/>
  <c r="V290" i="14"/>
  <c r="V289" i="14"/>
  <c r="V288" i="14"/>
  <c r="V287" i="14"/>
  <c r="V286" i="14"/>
  <c r="V285" i="14"/>
  <c r="V284" i="14"/>
  <c r="V283" i="14"/>
  <c r="V297" i="14" s="1"/>
  <c r="V281" i="14"/>
  <c r="V280" i="14"/>
  <c r="V279" i="14"/>
  <c r="V278" i="14"/>
  <c r="V277" i="14"/>
  <c r="V276" i="14"/>
  <c r="V275" i="14"/>
  <c r="V274" i="14"/>
  <c r="V273" i="14"/>
  <c r="V272" i="14"/>
  <c r="V271" i="14"/>
  <c r="V270" i="14"/>
  <c r="V269" i="14"/>
  <c r="V268" i="14"/>
  <c r="V267" i="14"/>
  <c r="V266" i="14"/>
  <c r="V265" i="14"/>
  <c r="V264" i="14"/>
  <c r="V263" i="14"/>
  <c r="V262" i="14"/>
  <c r="V261" i="14"/>
  <c r="V260" i="14"/>
  <c r="V259" i="14"/>
  <c r="V258" i="14"/>
  <c r="V257" i="14"/>
  <c r="V256" i="14"/>
  <c r="V255" i="14"/>
  <c r="V254" i="14"/>
  <c r="V253" i="14"/>
  <c r="V282" i="14" s="1"/>
  <c r="V252" i="14"/>
  <c r="V250" i="14"/>
  <c r="V249" i="14"/>
  <c r="V248" i="14"/>
  <c r="V247" i="14"/>
  <c r="V246" i="14"/>
  <c r="V245" i="14"/>
  <c r="V244" i="14"/>
  <c r="V243" i="14"/>
  <c r="V242" i="14"/>
  <c r="V241" i="14"/>
  <c r="V240" i="14"/>
  <c r="V239" i="14"/>
  <c r="V238" i="14"/>
  <c r="V237" i="14"/>
  <c r="V236" i="14"/>
  <c r="V235" i="14"/>
  <c r="V234" i="14"/>
  <c r="V233" i="14"/>
  <c r="V232" i="14"/>
  <c r="V231" i="14"/>
  <c r="V230" i="14"/>
  <c r="V229" i="14"/>
  <c r="V228" i="14"/>
  <c r="V227" i="14"/>
  <c r="V251" i="14" s="1"/>
  <c r="V225" i="14"/>
  <c r="V224" i="14"/>
  <c r="V223" i="14"/>
  <c r="V222" i="14"/>
  <c r="V221" i="14"/>
  <c r="V220" i="14"/>
  <c r="V219" i="14"/>
  <c r="V218" i="14"/>
  <c r="V217" i="14"/>
  <c r="V216" i="14"/>
  <c r="V215" i="14"/>
  <c r="V214" i="14"/>
  <c r="V213" i="14"/>
  <c r="V212" i="14"/>
  <c r="V211" i="14"/>
  <c r="V210" i="14"/>
  <c r="V209" i="14"/>
  <c r="V208" i="14"/>
  <c r="V207" i="14"/>
  <c r="V206" i="14"/>
  <c r="V205" i="14"/>
  <c r="V204" i="14"/>
  <c r="V203" i="14"/>
  <c r="V202" i="14"/>
  <c r="V201" i="14"/>
  <c r="V200" i="14"/>
  <c r="V199" i="14"/>
  <c r="V198" i="14"/>
  <c r="V197" i="14"/>
  <c r="V226" i="14" s="1"/>
  <c r="V196" i="14"/>
  <c r="V194" i="14"/>
  <c r="V193" i="14"/>
  <c r="V192" i="14"/>
  <c r="V191" i="14"/>
  <c r="V190" i="14"/>
  <c r="V189" i="14"/>
  <c r="V188" i="14"/>
  <c r="V187" i="14"/>
  <c r="V186" i="14"/>
  <c r="V185" i="14"/>
  <c r="V184" i="14"/>
  <c r="V183" i="14"/>
  <c r="V182" i="14"/>
  <c r="V181" i="14"/>
  <c r="V180" i="14"/>
  <c r="V179" i="14"/>
  <c r="V178" i="14"/>
  <c r="V177" i="14"/>
  <c r="V176" i="14"/>
  <c r="V175" i="14"/>
  <c r="V174" i="14"/>
  <c r="V173" i="14"/>
  <c r="V172" i="14"/>
  <c r="V171" i="14"/>
  <c r="V195" i="14" s="1"/>
  <c r="V170" i="14"/>
  <c r="V168" i="14"/>
  <c r="V167" i="14"/>
  <c r="V166" i="14"/>
  <c r="V165" i="14"/>
  <c r="V164" i="14"/>
  <c r="V163" i="14"/>
  <c r="V162" i="14"/>
  <c r="V161" i="14"/>
  <c r="V160" i="14"/>
  <c r="V159" i="14"/>
  <c r="V158" i="14"/>
  <c r="V157" i="14"/>
  <c r="V156" i="14"/>
  <c r="V155" i="14"/>
  <c r="V154" i="14"/>
  <c r="V153" i="14"/>
  <c r="V152" i="14"/>
  <c r="V151" i="14"/>
  <c r="V150" i="14"/>
  <c r="V149" i="14"/>
  <c r="V148" i="14"/>
  <c r="V147" i="14"/>
  <c r="V146" i="14"/>
  <c r="V145" i="14"/>
  <c r="V144" i="14"/>
  <c r="V143" i="14"/>
  <c r="V142" i="14"/>
  <c r="V141" i="14"/>
  <c r="V140" i="14"/>
  <c r="V139" i="14"/>
  <c r="V138" i="14"/>
  <c r="V137" i="14"/>
  <c r="V136" i="14"/>
  <c r="V135" i="14"/>
  <c r="V134" i="14"/>
  <c r="V133" i="14"/>
  <c r="V132" i="14"/>
  <c r="V131" i="14"/>
  <c r="V130" i="14"/>
  <c r="V129" i="14"/>
  <c r="V128" i="14"/>
  <c r="V127" i="14"/>
  <c r="V126" i="14"/>
  <c r="V125" i="14"/>
  <c r="V124" i="14"/>
  <c r="V123" i="14"/>
  <c r="V122" i="14"/>
  <c r="V121" i="14"/>
  <c r="V169" i="14" s="1"/>
  <c r="V119" i="14"/>
  <c r="V118" i="14"/>
  <c r="V117" i="14"/>
  <c r="V116" i="14"/>
  <c r="V115" i="14"/>
  <c r="V114" i="14"/>
  <c r="V113" i="14"/>
  <c r="V112" i="14"/>
  <c r="V111" i="14"/>
  <c r="V110" i="14"/>
  <c r="V109" i="14"/>
  <c r="V108" i="14"/>
  <c r="V107" i="14"/>
  <c r="V106" i="14"/>
  <c r="V105" i="14"/>
  <c r="V104" i="14"/>
  <c r="V103" i="14"/>
  <c r="V102" i="14"/>
  <c r="V101" i="14"/>
  <c r="V100" i="14"/>
  <c r="V99" i="14"/>
  <c r="V98" i="14"/>
  <c r="V97" i="14"/>
  <c r="V96" i="14"/>
  <c r="V95" i="14"/>
  <c r="V94" i="14"/>
  <c r="V93" i="14"/>
  <c r="V92" i="14"/>
  <c r="V91" i="14"/>
  <c r="V90" i="14"/>
  <c r="V120" i="14" s="1"/>
  <c r="V88" i="14"/>
  <c r="V87" i="14"/>
  <c r="V86" i="14"/>
  <c r="V85" i="14"/>
  <c r="V84" i="14"/>
  <c r="V83" i="14"/>
  <c r="V82" i="14"/>
  <c r="V81" i="14"/>
  <c r="V80" i="14"/>
  <c r="V79" i="14"/>
  <c r="V78" i="14"/>
  <c r="V77" i="14"/>
  <c r="V76" i="14"/>
  <c r="V75" i="14"/>
  <c r="V74" i="14"/>
  <c r="V73" i="14"/>
  <c r="V72" i="14"/>
  <c r="V71" i="14"/>
  <c r="V70" i="14"/>
  <c r="V69" i="14"/>
  <c r="V68" i="14"/>
  <c r="V67" i="14"/>
  <c r="V66" i="14"/>
  <c r="V65" i="14"/>
  <c r="V64" i="14"/>
  <c r="V63" i="14"/>
  <c r="V62" i="14"/>
  <c r="V89" i="14" s="1"/>
  <c r="V60" i="14"/>
  <c r="V59" i="14"/>
  <c r="V58" i="14"/>
  <c r="V57" i="14"/>
  <c r="V56" i="14"/>
  <c r="V55" i="14"/>
  <c r="V54" i="14"/>
  <c r="V53" i="14"/>
  <c r="V52" i="14"/>
  <c r="V51" i="14"/>
  <c r="V50" i="14"/>
  <c r="V49" i="14"/>
  <c r="V48" i="14"/>
  <c r="V47" i="14"/>
  <c r="V46" i="14"/>
  <c r="V45" i="14"/>
  <c r="V44" i="14"/>
  <c r="V43" i="14"/>
  <c r="V42" i="14"/>
  <c r="V41" i="14"/>
  <c r="V40" i="14"/>
  <c r="V39" i="14"/>
  <c r="V38" i="14"/>
  <c r="V37" i="14"/>
  <c r="V61" i="14" s="1"/>
  <c r="V36" i="14"/>
  <c r="V35" i="14"/>
  <c r="V34" i="14"/>
  <c r="V32" i="14"/>
  <c r="V31" i="14"/>
  <c r="V30" i="14"/>
  <c r="V29" i="14"/>
  <c r="V28" i="14"/>
  <c r="V27" i="14"/>
  <c r="V26" i="14"/>
  <c r="V25" i="14"/>
  <c r="V24" i="14"/>
  <c r="V23" i="14"/>
  <c r="V22" i="14"/>
  <c r="V21" i="14"/>
  <c r="V20" i="14"/>
  <c r="V19" i="14"/>
  <c r="V18" i="14"/>
  <c r="V17" i="14"/>
  <c r="V33" i="14" s="1"/>
  <c r="V15" i="14"/>
  <c r="V14" i="14"/>
  <c r="V13" i="14"/>
  <c r="V12" i="14"/>
  <c r="V11" i="14"/>
  <c r="V10" i="14"/>
  <c r="V9" i="14"/>
  <c r="V8" i="14"/>
  <c r="V7" i="14"/>
  <c r="V6" i="14"/>
  <c r="V5" i="14"/>
  <c r="V16" i="14" s="1"/>
  <c r="V3" i="14"/>
  <c r="V2" i="14"/>
  <c r="V4" i="14" s="1"/>
  <c r="E37" i="1"/>
  <c r="V2" i="12"/>
  <c r="V3" i="12"/>
  <c r="V4" i="12"/>
  <c r="V5" i="12"/>
  <c r="V12" i="12" s="1"/>
  <c r="V6" i="12"/>
  <c r="V7" i="12"/>
  <c r="V8" i="12"/>
  <c r="V9" i="12"/>
  <c r="V10" i="12"/>
  <c r="V11" i="12"/>
  <c r="V13" i="12"/>
  <c r="V25" i="12" s="1"/>
  <c r="V14" i="12"/>
  <c r="V15" i="12"/>
  <c r="V16" i="12"/>
  <c r="V17" i="12"/>
  <c r="V18" i="12"/>
  <c r="V19" i="12"/>
  <c r="V20" i="12"/>
  <c r="V21" i="12"/>
  <c r="V22" i="12"/>
  <c r="V23" i="12"/>
  <c r="V24" i="12"/>
  <c r="V26" i="12"/>
  <c r="V27" i="12"/>
  <c r="V28" i="12"/>
  <c r="V29" i="12"/>
  <c r="V36" i="12" s="1"/>
  <c r="V30" i="12"/>
  <c r="V31" i="12"/>
  <c r="V32" i="12"/>
  <c r="V33" i="12"/>
  <c r="V34" i="12"/>
  <c r="V35" i="12"/>
  <c r="V37" i="12"/>
  <c r="V38" i="12"/>
  <c r="V39" i="12"/>
  <c r="V62" i="12" s="1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3" i="12"/>
  <c r="V96" i="12" s="1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7" i="12"/>
  <c r="V154" i="12" s="1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5" i="12"/>
  <c r="V156" i="12"/>
  <c r="V157" i="12"/>
  <c r="V158" i="12"/>
  <c r="V189" i="12" s="1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90" i="12"/>
  <c r="V235" i="12" s="1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6" i="12"/>
  <c r="V237" i="12"/>
  <c r="V238" i="12"/>
  <c r="V239" i="12"/>
  <c r="V278" i="12" s="1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51" i="12" s="1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3" i="12"/>
  <c r="V344" i="12"/>
  <c r="V345" i="12"/>
  <c r="V346" i="12"/>
  <c r="V347" i="12"/>
  <c r="V348" i="12"/>
  <c r="V349" i="12"/>
  <c r="V350" i="12"/>
  <c r="V352" i="12"/>
  <c r="V372" i="12" s="1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3" i="12"/>
  <c r="V388" i="12" s="1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9" i="12"/>
  <c r="V394" i="12" s="1"/>
  <c r="V390" i="12"/>
  <c r="V391" i="12"/>
  <c r="V392" i="12"/>
  <c r="V393" i="12"/>
  <c r="V395" i="12"/>
  <c r="V397" i="12"/>
  <c r="B17" i="1"/>
  <c r="E61" i="1"/>
  <c r="E60" i="1"/>
  <c r="L34" i="10"/>
  <c r="N34" i="10" s="1"/>
  <c r="K34" i="10"/>
  <c r="I34" i="10"/>
  <c r="E34" i="10"/>
  <c r="F34" i="10" s="1"/>
  <c r="D34" i="10"/>
  <c r="L33" i="10"/>
  <c r="N33" i="10" s="1"/>
  <c r="K33" i="10"/>
  <c r="I33" i="10"/>
  <c r="E33" i="10"/>
  <c r="F33" i="10" s="1"/>
  <c r="D33" i="10"/>
  <c r="L32" i="10"/>
  <c r="N32" i="10" s="1"/>
  <c r="K32" i="10"/>
  <c r="I32" i="10"/>
  <c r="E32" i="10"/>
  <c r="F32" i="10" s="1"/>
  <c r="D32" i="10"/>
  <c r="L31" i="10"/>
  <c r="N31" i="10" s="1"/>
  <c r="K31" i="10"/>
  <c r="I31" i="10"/>
  <c r="E31" i="10"/>
  <c r="F31" i="10" s="1"/>
  <c r="D31" i="10"/>
  <c r="L30" i="10"/>
  <c r="N30" i="10" s="1"/>
  <c r="K30" i="10"/>
  <c r="I30" i="10"/>
  <c r="E30" i="10"/>
  <c r="F30" i="10" s="1"/>
  <c r="D30" i="10"/>
  <c r="L29" i="10"/>
  <c r="N29" i="10" s="1"/>
  <c r="K29" i="10"/>
  <c r="I29" i="10"/>
  <c r="E29" i="10"/>
  <c r="F29" i="10" s="1"/>
  <c r="D29" i="10"/>
  <c r="L28" i="10"/>
  <c r="N28" i="10" s="1"/>
  <c r="K28" i="10"/>
  <c r="I28" i="10"/>
  <c r="E28" i="10"/>
  <c r="F28" i="10" s="1"/>
  <c r="D28" i="10"/>
  <c r="L27" i="10"/>
  <c r="N27" i="10" s="1"/>
  <c r="K27" i="10"/>
  <c r="I27" i="10"/>
  <c r="E27" i="10"/>
  <c r="F27" i="10" s="1"/>
  <c r="D27" i="10"/>
  <c r="L26" i="10"/>
  <c r="N26" i="10" s="1"/>
  <c r="K26" i="10"/>
  <c r="I26" i="10"/>
  <c r="E26" i="10"/>
  <c r="F26" i="10" s="1"/>
  <c r="D26" i="10"/>
  <c r="L25" i="10"/>
  <c r="N25" i="10" s="1"/>
  <c r="K25" i="10"/>
  <c r="I25" i="10"/>
  <c r="E25" i="10"/>
  <c r="F25" i="10" s="1"/>
  <c r="D25" i="10"/>
  <c r="L24" i="10"/>
  <c r="N24" i="10" s="1"/>
  <c r="K24" i="10"/>
  <c r="I24" i="10"/>
  <c r="E24" i="10"/>
  <c r="F24" i="10" s="1"/>
  <c r="D24" i="10"/>
  <c r="L23" i="10"/>
  <c r="N23" i="10" s="1"/>
  <c r="K23" i="10"/>
  <c r="I23" i="10"/>
  <c r="E23" i="10"/>
  <c r="F23" i="10" s="1"/>
  <c r="D23" i="10"/>
  <c r="L22" i="10"/>
  <c r="N22" i="10" s="1"/>
  <c r="K22" i="10"/>
  <c r="I22" i="10"/>
  <c r="E22" i="10"/>
  <c r="F22" i="10" s="1"/>
  <c r="D22" i="10"/>
  <c r="L21" i="10"/>
  <c r="N21" i="10" s="1"/>
  <c r="K21" i="10"/>
  <c r="I21" i="10"/>
  <c r="E21" i="10"/>
  <c r="F21" i="10" s="1"/>
  <c r="D21" i="10"/>
  <c r="L20" i="10"/>
  <c r="N20" i="10" s="1"/>
  <c r="K20" i="10"/>
  <c r="I20" i="10"/>
  <c r="E20" i="10"/>
  <c r="F20" i="10" s="1"/>
  <c r="D20" i="10"/>
  <c r="L19" i="10"/>
  <c r="N19" i="10" s="1"/>
  <c r="K19" i="10"/>
  <c r="I19" i="10"/>
  <c r="E19" i="10"/>
  <c r="F19" i="10" s="1"/>
  <c r="D19" i="10"/>
  <c r="L18" i="10"/>
  <c r="N18" i="10" s="1"/>
  <c r="K18" i="10"/>
  <c r="I18" i="10"/>
  <c r="E18" i="10"/>
  <c r="F18" i="10" s="1"/>
  <c r="D18" i="10"/>
  <c r="L17" i="10"/>
  <c r="N17" i="10" s="1"/>
  <c r="K17" i="10"/>
  <c r="I17" i="10"/>
  <c r="E17" i="10"/>
  <c r="F17" i="10" s="1"/>
  <c r="D17" i="10"/>
  <c r="L16" i="10"/>
  <c r="N16" i="10" s="1"/>
  <c r="K16" i="10"/>
  <c r="I16" i="10"/>
  <c r="E16" i="10"/>
  <c r="F16" i="10" s="1"/>
  <c r="D16" i="10"/>
  <c r="L15" i="10"/>
  <c r="N15" i="10" s="1"/>
  <c r="K15" i="10"/>
  <c r="I15" i="10"/>
  <c r="E15" i="10"/>
  <c r="F15" i="10" s="1"/>
  <c r="D15" i="10"/>
  <c r="L14" i="10"/>
  <c r="N14" i="10" s="1"/>
  <c r="K14" i="10"/>
  <c r="I14" i="10"/>
  <c r="E14" i="10"/>
  <c r="F14" i="10" s="1"/>
  <c r="D14" i="10"/>
  <c r="L13" i="10"/>
  <c r="N13" i="10" s="1"/>
  <c r="K13" i="10"/>
  <c r="I13" i="10"/>
  <c r="E13" i="10"/>
  <c r="F13" i="10" s="1"/>
  <c r="D13" i="10"/>
  <c r="L12" i="10"/>
  <c r="N12" i="10" s="1"/>
  <c r="K12" i="10"/>
  <c r="I12" i="10"/>
  <c r="E12" i="10"/>
  <c r="F12" i="10" s="1"/>
  <c r="D12" i="10"/>
  <c r="L11" i="10"/>
  <c r="N11" i="10" s="1"/>
  <c r="K11" i="10"/>
  <c r="I11" i="10"/>
  <c r="E11" i="10"/>
  <c r="F11" i="10" s="1"/>
  <c r="D11" i="10"/>
  <c r="L10" i="10"/>
  <c r="N10" i="10" s="1"/>
  <c r="K10" i="10"/>
  <c r="I10" i="10"/>
  <c r="E10" i="10"/>
  <c r="F10" i="10" s="1"/>
  <c r="D10" i="10"/>
  <c r="L9" i="10"/>
  <c r="N9" i="10" s="1"/>
  <c r="K9" i="10"/>
  <c r="I9" i="10"/>
  <c r="E9" i="10"/>
  <c r="F9" i="10" s="1"/>
  <c r="D9" i="10"/>
  <c r="L8" i="10"/>
  <c r="N8" i="10" s="1"/>
  <c r="K8" i="10"/>
  <c r="I8" i="10"/>
  <c r="E8" i="10"/>
  <c r="F8" i="10" s="1"/>
  <c r="D8" i="10"/>
  <c r="L7" i="10"/>
  <c r="N7" i="10" s="1"/>
  <c r="K7" i="10"/>
  <c r="I7" i="10"/>
  <c r="E7" i="10"/>
  <c r="F7" i="10" s="1"/>
  <c r="D7" i="10"/>
  <c r="L6" i="10"/>
  <c r="N6" i="10" s="1"/>
  <c r="K6" i="10"/>
  <c r="I6" i="10"/>
  <c r="E6" i="10"/>
  <c r="F6" i="10" s="1"/>
  <c r="D6" i="10"/>
  <c r="L5" i="10"/>
  <c r="N5" i="10" s="1"/>
  <c r="K5" i="10"/>
  <c r="I5" i="10"/>
  <c r="E5" i="10"/>
  <c r="F5" i="10" s="1"/>
  <c r="D5" i="10"/>
  <c r="L4" i="10"/>
  <c r="N4" i="10" s="1"/>
  <c r="K4" i="10"/>
  <c r="I4" i="10"/>
  <c r="E4" i="10"/>
  <c r="F4" i="10" s="1"/>
  <c r="D4" i="10"/>
  <c r="L3" i="10"/>
  <c r="N3" i="10" s="1"/>
  <c r="K3" i="10"/>
  <c r="I3" i="10"/>
  <c r="E3" i="10"/>
  <c r="F3" i="10" s="1"/>
  <c r="D3" i="10"/>
  <c r="L2" i="10"/>
  <c r="K2" i="10"/>
  <c r="I2" i="10"/>
  <c r="E2" i="10"/>
  <c r="F2" i="10" s="1"/>
  <c r="D2" i="10"/>
  <c r="D5" i="4" l="1"/>
  <c r="D13" i="4"/>
  <c r="E13" i="4"/>
  <c r="F13" i="4" s="1"/>
  <c r="D4" i="4"/>
  <c r="E5" i="4"/>
  <c r="F5" i="4" s="1"/>
  <c r="I5" i="16"/>
  <c r="B5" i="17" s="1"/>
  <c r="D5" i="17" s="1"/>
  <c r="E8" i="4"/>
  <c r="E9" i="4"/>
  <c r="E7" i="4"/>
  <c r="B7" i="4"/>
  <c r="D7" i="4" s="1"/>
  <c r="E6" i="4"/>
  <c r="B6" i="4"/>
  <c r="D6" i="4" s="1"/>
  <c r="E11" i="4"/>
  <c r="B11" i="4"/>
  <c r="D11" i="4" s="1"/>
  <c r="E3" i="4"/>
  <c r="B3" i="4"/>
  <c r="D3" i="4" s="1"/>
  <c r="E10" i="4"/>
  <c r="B10" i="4"/>
  <c r="D10" i="4" s="1"/>
  <c r="E17" i="16"/>
  <c r="E25" i="16"/>
  <c r="E33" i="16"/>
  <c r="E18" i="16"/>
  <c r="E26" i="16"/>
  <c r="E34" i="16"/>
  <c r="E16" i="16"/>
  <c r="E28" i="16"/>
  <c r="E19" i="16"/>
  <c r="E29" i="16"/>
  <c r="E20" i="16"/>
  <c r="E30" i="16"/>
  <c r="E21" i="16"/>
  <c r="E31" i="16"/>
  <c r="E22" i="16"/>
  <c r="E32" i="16"/>
  <c r="E23" i="16"/>
  <c r="E14" i="16"/>
  <c r="E24" i="16"/>
  <c r="E15" i="16"/>
  <c r="E27" i="16"/>
  <c r="E12" i="4"/>
  <c r="F12" i="4" s="1"/>
  <c r="I12" i="16"/>
  <c r="B12" i="17" s="1"/>
  <c r="D12" i="17" s="1"/>
  <c r="I13" i="16"/>
  <c r="B13" i="17" s="1"/>
  <c r="D13" i="17" s="1"/>
  <c r="E4" i="4"/>
  <c r="F4" i="4" s="1"/>
  <c r="D8" i="4"/>
  <c r="D9" i="4"/>
  <c r="D2" i="4"/>
  <c r="C18" i="5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B16" i="1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F6" i="4" l="1"/>
  <c r="F8" i="4"/>
  <c r="I8" i="16"/>
  <c r="B8" i="17" s="1"/>
  <c r="D8" i="17" s="1"/>
  <c r="I9" i="16"/>
  <c r="B9" i="17" s="1"/>
  <c r="D9" i="17" s="1"/>
  <c r="F9" i="4"/>
  <c r="I3" i="16"/>
  <c r="B3" i="17" s="1"/>
  <c r="D3" i="17" s="1"/>
  <c r="I10" i="16"/>
  <c r="B10" i="17" s="1"/>
  <c r="D10" i="17" s="1"/>
  <c r="I7" i="16"/>
  <c r="B7" i="17" s="1"/>
  <c r="D7" i="17" s="1"/>
  <c r="F10" i="4"/>
  <c r="I11" i="16"/>
  <c r="B11" i="17" s="1"/>
  <c r="D11" i="17" s="1"/>
  <c r="F11" i="4"/>
  <c r="B27" i="4"/>
  <c r="D27" i="4" s="1"/>
  <c r="B18" i="4"/>
  <c r="D18" i="4" s="1"/>
  <c r="B24" i="4"/>
  <c r="D24" i="4" s="1"/>
  <c r="B20" i="4"/>
  <c r="D20" i="4" s="1"/>
  <c r="B33" i="4"/>
  <c r="D33" i="4" s="1"/>
  <c r="B26" i="4"/>
  <c r="D26" i="4" s="1"/>
  <c r="B30" i="4"/>
  <c r="D30" i="4" s="1"/>
  <c r="B25" i="4"/>
  <c r="D25" i="4" s="1"/>
  <c r="B21" i="4"/>
  <c r="D21" i="4" s="1"/>
  <c r="B15" i="4"/>
  <c r="D15" i="4" s="1"/>
  <c r="B14" i="4"/>
  <c r="D14" i="4" s="1"/>
  <c r="B29" i="4"/>
  <c r="D29" i="4" s="1"/>
  <c r="I6" i="16"/>
  <c r="B6" i="17" s="1"/>
  <c r="D6" i="17" s="1"/>
  <c r="B23" i="4"/>
  <c r="D23" i="4" s="1"/>
  <c r="B19" i="4"/>
  <c r="D19" i="4" s="1"/>
  <c r="B17" i="4"/>
  <c r="D17" i="4" s="1"/>
  <c r="F3" i="4"/>
  <c r="B32" i="4"/>
  <c r="D32" i="4" s="1"/>
  <c r="B28" i="4"/>
  <c r="D28" i="4" s="1"/>
  <c r="I4" i="16"/>
  <c r="B4" i="17" s="1"/>
  <c r="D4" i="17" s="1"/>
  <c r="B22" i="4"/>
  <c r="D22" i="4" s="1"/>
  <c r="B16" i="4"/>
  <c r="D16" i="4" s="1"/>
  <c r="B31" i="4"/>
  <c r="D31" i="4" s="1"/>
  <c r="B34" i="4"/>
  <c r="D34" i="4" s="1"/>
  <c r="F7" i="4"/>
  <c r="C16" i="1"/>
  <c r="B2" i="16"/>
  <c r="G7" i="1"/>
  <c r="F2" i="4" l="1"/>
  <c r="I2" i="16"/>
  <c r="J2" i="16" s="1"/>
  <c r="E20" i="4"/>
  <c r="F20" i="4" s="1"/>
  <c r="I20" i="16"/>
  <c r="B20" i="17" s="1"/>
  <c r="D20" i="17" s="1"/>
  <c r="E22" i="4"/>
  <c r="F22" i="4" s="1"/>
  <c r="I22" i="16"/>
  <c r="B22" i="17" s="1"/>
  <c r="D22" i="17" s="1"/>
  <c r="E14" i="4"/>
  <c r="F14" i="4" s="1"/>
  <c r="I14" i="16"/>
  <c r="B14" i="17" s="1"/>
  <c r="D14" i="17" s="1"/>
  <c r="E30" i="4"/>
  <c r="I30" i="16"/>
  <c r="B30" i="17" s="1"/>
  <c r="D30" i="17" s="1"/>
  <c r="E17" i="4"/>
  <c r="F17" i="4" s="1"/>
  <c r="I17" i="16"/>
  <c r="B17" i="17" s="1"/>
  <c r="D17" i="17" s="1"/>
  <c r="E34" i="4"/>
  <c r="F34" i="4" s="1"/>
  <c r="I34" i="16"/>
  <c r="B34" i="17" s="1"/>
  <c r="D34" i="17" s="1"/>
  <c r="E19" i="4"/>
  <c r="F19" i="4" s="1"/>
  <c r="I19" i="16"/>
  <c r="B19" i="17" s="1"/>
  <c r="D19" i="17" s="1"/>
  <c r="F30" i="4"/>
  <c r="E24" i="4"/>
  <c r="F24" i="4" s="1"/>
  <c r="I24" i="16"/>
  <c r="B24" i="17" s="1"/>
  <c r="D24" i="17" s="1"/>
  <c r="E28" i="4"/>
  <c r="F28" i="4" s="1"/>
  <c r="I28" i="16"/>
  <c r="B28" i="17" s="1"/>
  <c r="D28" i="17" s="1"/>
  <c r="E15" i="4"/>
  <c r="F15" i="4" s="1"/>
  <c r="I15" i="16"/>
  <c r="B15" i="17" s="1"/>
  <c r="D15" i="17" s="1"/>
  <c r="E26" i="4"/>
  <c r="F26" i="4" s="1"/>
  <c r="I26" i="16"/>
  <c r="B26" i="17" s="1"/>
  <c r="D26" i="17" s="1"/>
  <c r="E18" i="4"/>
  <c r="F18" i="4" s="1"/>
  <c r="I18" i="16"/>
  <c r="B18" i="17" s="1"/>
  <c r="D18" i="17" s="1"/>
  <c r="E31" i="4"/>
  <c r="F31" i="4" s="1"/>
  <c r="I31" i="16"/>
  <c r="B31" i="17" s="1"/>
  <c r="D31" i="17" s="1"/>
  <c r="E32" i="4"/>
  <c r="F32" i="4" s="1"/>
  <c r="I32" i="16"/>
  <c r="B32" i="17" s="1"/>
  <c r="D32" i="17" s="1"/>
  <c r="E21" i="4"/>
  <c r="F21" i="4" s="1"/>
  <c r="I21" i="16"/>
  <c r="B21" i="17" s="1"/>
  <c r="D21" i="17" s="1"/>
  <c r="E23" i="4"/>
  <c r="F23" i="4" s="1"/>
  <c r="I23" i="16"/>
  <c r="B23" i="17" s="1"/>
  <c r="D23" i="17" s="1"/>
  <c r="E33" i="4"/>
  <c r="F33" i="4" s="1"/>
  <c r="I33" i="16"/>
  <c r="B33" i="17" s="1"/>
  <c r="D33" i="17" s="1"/>
  <c r="F16" i="4"/>
  <c r="I16" i="16"/>
  <c r="B16" i="17" s="1"/>
  <c r="D16" i="17" s="1"/>
  <c r="I29" i="16"/>
  <c r="B29" i="17" s="1"/>
  <c r="D29" i="17" s="1"/>
  <c r="E29" i="4"/>
  <c r="F29" i="4" s="1"/>
  <c r="E25" i="4"/>
  <c r="F25" i="4" s="1"/>
  <c r="I25" i="16"/>
  <c r="B25" i="17" s="1"/>
  <c r="D25" i="17" s="1"/>
  <c r="E27" i="4"/>
  <c r="F27" i="4" s="1"/>
  <c r="I27" i="16"/>
  <c r="B27" i="17" s="1"/>
  <c r="D27" i="17" s="1"/>
  <c r="F36" i="4" l="1"/>
  <c r="J3" i="16"/>
  <c r="B3" i="5" s="1"/>
  <c r="D3" i="5" s="1"/>
  <c r="F3" i="5" s="1"/>
  <c r="B2" i="17"/>
  <c r="D2" i="17" s="1"/>
  <c r="F2" i="17" s="1"/>
  <c r="E3" i="17" s="1"/>
  <c r="F3" i="17" s="1"/>
  <c r="E4" i="17" s="1"/>
  <c r="F4" i="17" s="1"/>
  <c r="E5" i="17" s="1"/>
  <c r="F5" i="17" s="1"/>
  <c r="E6" i="17" s="1"/>
  <c r="F6" i="17" s="1"/>
  <c r="E7" i="17" s="1"/>
  <c r="F7" i="17" s="1"/>
  <c r="E8" i="17" s="1"/>
  <c r="F8" i="17" s="1"/>
  <c r="E9" i="17" s="1"/>
  <c r="F9" i="17" s="1"/>
  <c r="E10" i="17" s="1"/>
  <c r="F10" i="17" s="1"/>
  <c r="E11" i="17" s="1"/>
  <c r="F11" i="17" s="1"/>
  <c r="E12" i="17" s="1"/>
  <c r="F12" i="17" s="1"/>
  <c r="E13" i="17" s="1"/>
  <c r="F13" i="17" s="1"/>
  <c r="E14" i="17" s="1"/>
  <c r="F14" i="17" s="1"/>
  <c r="E15" i="17" s="1"/>
  <c r="F15" i="17" s="1"/>
  <c r="E16" i="17" s="1"/>
  <c r="F16" i="17" s="1"/>
  <c r="E17" i="17" s="1"/>
  <c r="F17" i="17" s="1"/>
  <c r="E18" i="17" s="1"/>
  <c r="F18" i="17" s="1"/>
  <c r="E19" i="17" s="1"/>
  <c r="F19" i="17" s="1"/>
  <c r="E20" i="17" s="1"/>
  <c r="F20" i="17" s="1"/>
  <c r="E21" i="17" s="1"/>
  <c r="F21" i="17" s="1"/>
  <c r="E22" i="17" s="1"/>
  <c r="F22" i="17" s="1"/>
  <c r="E23" i="17" s="1"/>
  <c r="F23" i="17" s="1"/>
  <c r="E24" i="17" s="1"/>
  <c r="F24" i="17" s="1"/>
  <c r="E25" i="17" s="1"/>
  <c r="F25" i="17" s="1"/>
  <c r="E26" i="17" s="1"/>
  <c r="F26" i="17" s="1"/>
  <c r="E27" i="17" s="1"/>
  <c r="F27" i="17" s="1"/>
  <c r="E28" i="17" s="1"/>
  <c r="F28" i="17" s="1"/>
  <c r="E29" i="17" s="1"/>
  <c r="F29" i="17" s="1"/>
  <c r="E30" i="17" s="1"/>
  <c r="F30" i="17" s="1"/>
  <c r="E31" i="17" s="1"/>
  <c r="F31" i="17" s="1"/>
  <c r="E32" i="17" s="1"/>
  <c r="F32" i="17" s="1"/>
  <c r="E33" i="17" s="1"/>
  <c r="F33" i="17" s="1"/>
  <c r="E34" i="17" s="1"/>
  <c r="F34" i="17" s="1"/>
  <c r="B2" i="5" l="1"/>
  <c r="D2" i="5" s="1"/>
  <c r="F2" i="5" s="1"/>
  <c r="J4" i="16"/>
  <c r="B4" i="5" s="1"/>
  <c r="D4" i="5" s="1"/>
  <c r="F4" i="5" s="1"/>
  <c r="J5" i="16" l="1"/>
  <c r="B5" i="5" s="1"/>
  <c r="D5" i="5" s="1"/>
  <c r="F5" i="5" s="1"/>
  <c r="J6" i="16" l="1"/>
  <c r="B6" i="5" s="1"/>
  <c r="D6" i="5" s="1"/>
  <c r="F6" i="5" s="1"/>
  <c r="J7" i="16" l="1"/>
  <c r="B7" i="5" s="1"/>
  <c r="D7" i="5" s="1"/>
  <c r="F7" i="5" s="1"/>
  <c r="J8" i="16" l="1"/>
  <c r="B8" i="5" s="1"/>
  <c r="D8" i="5" s="1"/>
  <c r="F8" i="5" s="1"/>
  <c r="J9" i="16" l="1"/>
  <c r="B9" i="5" s="1"/>
  <c r="D9" i="5" s="1"/>
  <c r="F9" i="5" s="1"/>
  <c r="J10" i="16" l="1"/>
  <c r="B10" i="5" s="1"/>
  <c r="D10" i="5" s="1"/>
  <c r="F10" i="5" s="1"/>
  <c r="J11" i="16" l="1"/>
  <c r="B11" i="5" s="1"/>
  <c r="D11" i="5" s="1"/>
  <c r="F11" i="5" s="1"/>
  <c r="J12" i="16" l="1"/>
  <c r="B12" i="5" s="1"/>
  <c r="D12" i="5" s="1"/>
  <c r="F12" i="5" s="1"/>
  <c r="J13" i="16" l="1"/>
  <c r="B13" i="5" s="1"/>
  <c r="D13" i="5" s="1"/>
  <c r="F13" i="5" s="1"/>
  <c r="J14" i="16" l="1"/>
  <c r="B14" i="5" s="1"/>
  <c r="D14" i="5" s="1"/>
  <c r="F14" i="5" s="1"/>
  <c r="J15" i="16" l="1"/>
  <c r="B15" i="5" s="1"/>
  <c r="D15" i="5" s="1"/>
  <c r="F15" i="5" s="1"/>
  <c r="J16" i="16" l="1"/>
  <c r="B16" i="5" s="1"/>
  <c r="D16" i="5" s="1"/>
  <c r="F16" i="5" s="1"/>
  <c r="J17" i="16" l="1"/>
  <c r="B17" i="5" s="1"/>
  <c r="D17" i="5" s="1"/>
  <c r="F17" i="5" s="1"/>
  <c r="J18" i="16" l="1"/>
  <c r="B18" i="5" s="1"/>
  <c r="D18" i="5" s="1"/>
  <c r="F18" i="5" s="1"/>
  <c r="J19" i="16" l="1"/>
  <c r="B19" i="5" s="1"/>
  <c r="D19" i="5" s="1"/>
  <c r="F19" i="5" s="1"/>
  <c r="J20" i="16" l="1"/>
  <c r="B20" i="5" s="1"/>
  <c r="D20" i="5" s="1"/>
  <c r="F20" i="5" s="1"/>
  <c r="J21" i="16"/>
  <c r="B21" i="5" s="1"/>
  <c r="D21" i="5" l="1"/>
  <c r="F21" i="5" s="1"/>
  <c r="J22" i="16"/>
  <c r="B22" i="5" s="1"/>
  <c r="J23" i="16" l="1"/>
  <c r="B23" i="5" s="1"/>
  <c r="D22" i="5"/>
  <c r="F22" i="5" s="1"/>
  <c r="J24" i="16" l="1"/>
  <c r="B24" i="5" s="1"/>
  <c r="D23" i="5"/>
  <c r="F23" i="5" s="1"/>
  <c r="J25" i="16" l="1"/>
  <c r="B25" i="5" s="1"/>
  <c r="D24" i="5"/>
  <c r="F24" i="5" s="1"/>
  <c r="J26" i="16" l="1"/>
  <c r="B26" i="5" s="1"/>
  <c r="D25" i="5"/>
  <c r="F25" i="5" s="1"/>
  <c r="D26" i="5" l="1"/>
  <c r="F26" i="5" s="1"/>
  <c r="J27" i="16"/>
  <c r="B27" i="5" s="1"/>
  <c r="D27" i="5" l="1"/>
  <c r="F27" i="5" s="1"/>
  <c r="J28" i="16"/>
  <c r="B28" i="5" s="1"/>
  <c r="D28" i="5" l="1"/>
  <c r="F28" i="5" s="1"/>
  <c r="J29" i="16"/>
  <c r="B29" i="5" s="1"/>
  <c r="D29" i="5" l="1"/>
  <c r="F29" i="5" s="1"/>
  <c r="J30" i="16"/>
  <c r="B30" i="5" s="1"/>
  <c r="J31" i="16" l="1"/>
  <c r="B31" i="5" s="1"/>
  <c r="D30" i="5"/>
  <c r="F30" i="5" s="1"/>
  <c r="J32" i="16" l="1"/>
  <c r="B32" i="5" s="1"/>
  <c r="D31" i="5"/>
  <c r="F31" i="5" s="1"/>
  <c r="J33" i="16" l="1"/>
  <c r="B33" i="5" s="1"/>
  <c r="D32" i="5"/>
  <c r="F32" i="5" s="1"/>
  <c r="J34" i="16" l="1"/>
  <c r="B34" i="5" s="1"/>
  <c r="D34" i="5" s="1"/>
  <c r="F34" i="5" s="1"/>
  <c r="D33" i="5"/>
  <c r="F33" i="5" s="1"/>
</calcChain>
</file>

<file path=xl/sharedStrings.xml><?xml version="1.0" encoding="utf-8"?>
<sst xmlns="http://schemas.openxmlformats.org/spreadsheetml/2006/main" count="1783" uniqueCount="248">
  <si>
    <t>Parameter</t>
  </si>
  <si>
    <t>Value</t>
  </si>
  <si>
    <t>Notes</t>
  </si>
  <si>
    <t>General</t>
  </si>
  <si>
    <t>Start_Year</t>
  </si>
  <si>
    <t>Initial_Cash</t>
  </si>
  <si>
    <t>Homes &amp; Unit Economics</t>
  </si>
  <si>
    <t>Homes_Y1</t>
  </si>
  <si>
    <t>Subscription Model</t>
  </si>
  <si>
    <t>Sub_Start_Subscribers_Y1</t>
  </si>
  <si>
    <t>Sub_Monthly_Fee</t>
  </si>
  <si>
    <t>Sub_Annual_Growth_Rate</t>
  </si>
  <si>
    <t>Sub_Churn_Rate</t>
  </si>
  <si>
    <t>Operating Expenses</t>
  </si>
  <si>
    <t>Tax &amp; Other</t>
  </si>
  <si>
    <t>Tax_Rate</t>
  </si>
  <si>
    <t>Base year for model</t>
  </si>
  <si>
    <t>Client capital available ($)</t>
  </si>
  <si>
    <t>Number of homes bought &amp; sold in Year 1</t>
  </si>
  <si>
    <t>Active subscribers in Year 1</t>
  </si>
  <si>
    <t>Subscription price per month ($)</t>
  </si>
  <si>
    <t>YoY growth in subscribers (multiplier)</t>
  </si>
  <si>
    <t>Annual churn (for refinement)</t>
  </si>
  <si>
    <t>Corporate tax rate (if applied later)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</si>
  <si>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</si>
  <si>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</si>
  <si>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</si>
  <si>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</si>
  <si>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</si>
  <si>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</si>
  <si>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</si>
  <si>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</si>
  <si>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</si>
  <si>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</si>
  <si>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</si>
  <si>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</si>
  <si>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Total_Opex</t>
  </si>
  <si>
    <t>Line Item</t>
  </si>
  <si>
    <t>Cash</t>
  </si>
  <si>
    <t>Equity</t>
  </si>
  <si>
    <t>Metric</t>
  </si>
  <si>
    <t>office_dallas</t>
  </si>
  <si>
    <t xml:space="preserve">monthly rent </t>
  </si>
  <si>
    <t> Miscellaneous Expenses </t>
  </si>
  <si>
    <t>Month</t>
  </si>
  <si>
    <t>Total_Rehab_Cost</t>
  </si>
  <si>
    <t>Net_Cashflow</t>
  </si>
  <si>
    <t>Cumulative_Net_Cashflow</t>
  </si>
  <si>
    <t>Houses_Bought</t>
  </si>
  <si>
    <t>Houses_Sold</t>
  </si>
  <si>
    <t>Cumm_houses_bought</t>
  </si>
  <si>
    <t>Cumm_houses_sold</t>
  </si>
  <si>
    <t>Inventory</t>
  </si>
  <si>
    <t>Total_Buy_Price</t>
  </si>
  <si>
    <t>Total_Buy_Txn_Cost</t>
  </si>
  <si>
    <t>Total_Holding_Cost</t>
  </si>
  <si>
    <t>Total_Sell_Txn_Cost</t>
  </si>
  <si>
    <t>Total_Service_Fees</t>
  </si>
  <si>
    <t>Total_Sale_Revenue</t>
  </si>
  <si>
    <t>Role</t>
  </si>
  <si>
    <t>Count</t>
  </si>
  <si>
    <t>Salary (Annual)</t>
  </si>
  <si>
    <t>Monthly Cost (per person)</t>
  </si>
  <si>
    <t>Monthly Total Cost</t>
  </si>
  <si>
    <t>Customer Support Reps</t>
  </si>
  <si>
    <t>Handles all 3k subs</t>
  </si>
  <si>
    <t>Seller Advisors</t>
  </si>
  <si>
    <t>Guides sellers</t>
  </si>
  <si>
    <t>Field Ops (Inspectors/Coordinators)</t>
  </si>
  <si>
    <t>On-site coordination</t>
  </si>
  <si>
    <t>Marketing Specialist</t>
  </si>
  <si>
    <t>Executes marketing</t>
  </si>
  <si>
    <t>Data/Valuation Analyst</t>
  </si>
  <si>
    <t>Runs valuation models</t>
  </si>
  <si>
    <t>Product/Tech Lead</t>
  </si>
  <si>
    <t>Single technical owner</t>
  </si>
  <si>
    <t>Partnerships Manager</t>
  </si>
  <si>
    <t>Vendor + local onboarding</t>
  </si>
  <si>
    <t>Dallas General Manager</t>
  </si>
  <si>
    <t>Runs entire metro</t>
  </si>
  <si>
    <t>House_ID</t>
  </si>
  <si>
    <t>Market</t>
  </si>
  <si>
    <t>Phase</t>
  </si>
  <si>
    <t>Tier</t>
  </si>
  <si>
    <t>Buy_Month</t>
  </si>
  <si>
    <t>Sell_Month</t>
  </si>
  <si>
    <t>Holding_Period</t>
  </si>
  <si>
    <t>Buy_Price</t>
  </si>
  <si>
    <t>Rehab_Cost</t>
  </si>
  <si>
    <t>Appreciation_Gain</t>
  </si>
  <si>
    <t>Uplift_Gain</t>
  </si>
  <si>
    <t>Sell_Price</t>
  </si>
  <si>
    <t>Insurance_Cost</t>
  </si>
  <si>
    <t>Property_Tax_Cost</t>
  </si>
  <si>
    <t>Maintenance_Cost</t>
  </si>
  <si>
    <t>HOA_Cost</t>
  </si>
  <si>
    <t>Buy_Txn_Cost</t>
  </si>
  <si>
    <t>Sell_Txn_Cost</t>
  </si>
  <si>
    <t>Service_Fee_Buy</t>
  </si>
  <si>
    <t>Service_Fee_Sell</t>
  </si>
  <si>
    <t>Profit</t>
  </si>
  <si>
    <t>Dallas</t>
  </si>
  <si>
    <t>Tier 1</t>
  </si>
  <si>
    <t>Tier 2</t>
  </si>
  <si>
    <t>Tier 3</t>
  </si>
  <si>
    <t>Service</t>
  </si>
  <si>
    <t>Cost</t>
  </si>
  <si>
    <t>Digital Marketing Operations</t>
  </si>
  <si>
    <t>Monthly Ad Spend</t>
  </si>
  <si>
    <t>salary</t>
  </si>
  <si>
    <t>office cost</t>
  </si>
  <si>
    <t>Rate ($/sq ft/year)</t>
  </si>
  <si>
    <t>Monthly Rent (800 sq ft)</t>
  </si>
  <si>
    <t>$1,933/month</t>
  </si>
  <si>
    <t>$2,933/</t>
  </si>
  <si>
    <t xml:space="preserve"> Downtown Dallas</t>
  </si>
  <si>
    <t>Uptown Dallas</t>
  </si>
  <si>
    <t>Expense Type</t>
  </si>
  <si>
    <t>Monthly Cost</t>
  </si>
  <si>
    <t>Electricity</t>
  </si>
  <si>
    <t>Internet</t>
  </si>
  <si>
    <t>Cleaning</t>
  </si>
  <si>
    <t>Water/Trash</t>
  </si>
  <si>
    <t>Office Supplies</t>
  </si>
  <si>
    <t>Insurance</t>
  </si>
  <si>
    <t>Furniture amortized</t>
  </si>
  <si>
    <t>Total Other Expenses (per office)</t>
  </si>
  <si>
    <t>$805/month</t>
  </si>
  <si>
    <t>Rent</t>
  </si>
  <si>
    <t>Other Expenses</t>
  </si>
  <si>
    <t>—</t>
  </si>
  <si>
    <t>Location</t>
  </si>
  <si>
    <t>Total / Office / Month</t>
  </si>
  <si>
    <t>Downtown (Scenario B)</t>
  </si>
  <si>
    <t>Uptown (Scenario C)</t>
  </si>
  <si>
    <t xml:space="preserve">total year </t>
  </si>
  <si>
    <t>Atlanta</t>
  </si>
  <si>
    <t>YEAR 1 MONTH-BY-MONTH MARKETING BREAKDOWN</t>
  </si>
  <si>
    <t>TOTAL</t>
  </si>
  <si>
    <t>EAR 2 MONTH-BY-MONTH MARKETING BREAKDOWN</t>
  </si>
  <si>
    <t>(Spending grows steadily but remains disciplined)</t>
  </si>
  <si>
    <t>Marketing</t>
  </si>
  <si>
    <t>TECH</t>
  </si>
  <si>
    <t>Component</t>
  </si>
  <si>
    <t>Initial Build</t>
  </si>
  <si>
    <t>Year 1 Maintenance</t>
  </si>
  <si>
    <t>Total Year 1 Platform Cost</t>
  </si>
  <si>
    <t xml:space="preserve"> YEAR 1 TOTAL (Platform Only)</t>
  </si>
  <si>
    <t>Enhancements</t>
  </si>
  <si>
    <t>Year 2 Maintenance</t>
  </si>
  <si>
    <t>Total Year 2 Platform Cost</t>
  </si>
  <si>
    <t>YEAR 2 TOTAL (Platform Only)</t>
  </si>
  <si>
    <t>LEAGAL FEE</t>
  </si>
  <si>
    <t>Legal Category</t>
  </si>
  <si>
    <t>Year 1 Cost (USD)</t>
  </si>
  <si>
    <t>Year 2 Cost (USD)</t>
  </si>
  <si>
    <t>Notes / Source Basis</t>
  </si>
  <si>
    <t>Business Formation &amp; Corporate Governance</t>
  </si>
  <si>
    <t>Formation + annual compliance (Texas SOS, IncFile, CBRE)</t>
  </si>
  <si>
    <t>Title / Lien / Property Dispute Support</t>
  </si>
  <si>
    <t>$600 per complex review × 30 (Texas title companies &amp; attorney quotes)</t>
  </si>
  <si>
    <t>Closing Attorney (optional)</t>
  </si>
  <si>
    <t>$400 × 24 closings; Texas title cost ranges</t>
  </si>
  <si>
    <t>Subscription Product Legal (TOS, Privacy, Contracts)</t>
  </si>
  <si>
    <t>Standard SaaS pricing from privacy law firms (Osano, Termly, Iubenda, Dallas tech law firms)</t>
  </si>
  <si>
    <t>Employment &amp; HR Legal</t>
  </si>
  <si>
    <t>Contract templates + EE agreements (Dallas HR attorneys)</t>
  </si>
  <si>
    <t>Office Lease Legal (2 leases)</t>
  </si>
  <si>
    <t>$1,000 per lease review (LoopNet landlords + Dallas commercial attorneys)</t>
  </si>
  <si>
    <t>General Counsel Hours / Misc Legal</t>
  </si>
  <si>
    <t>Typical $250–$375/hr × ~10 hrs/mo startup use</t>
  </si>
  <si>
    <t>TOTAL LEGAL FEES</t>
  </si>
  <si>
    <t xml:space="preserve">TOTAL SALARY </t>
  </si>
  <si>
    <t>Office</t>
  </si>
  <si>
    <t>Salary</t>
  </si>
  <si>
    <t xml:space="preserve">tech_maintain </t>
  </si>
  <si>
    <t xml:space="preserve">legal_expense </t>
  </si>
  <si>
    <t>Total_expense</t>
  </si>
  <si>
    <t>Final_Net_Cashflow</t>
  </si>
  <si>
    <t>Cumulative_Final_Net_Cashflow</t>
  </si>
  <si>
    <t>Inventory Value</t>
  </si>
  <si>
    <t>Total Assets</t>
  </si>
  <si>
    <t>Liabilities</t>
  </si>
  <si>
    <t>Months</t>
  </si>
  <si>
    <t xml:space="preserve">total price </t>
  </si>
  <si>
    <t>total</t>
  </si>
  <si>
    <t>Monthly Cost (Low)</t>
  </si>
  <si>
    <t>WebFX base retainer</t>
  </si>
  <si>
    <t>Pay-Per-Click (PPC) Management (15% of ad spend)</t>
  </si>
  <si>
    <t>Based on $100K–$300K ad spend</t>
  </si>
  <si>
    <t>SEO + Content Marketing</t>
  </si>
  <si>
    <t>Monthly SEO package</t>
  </si>
  <si>
    <t>Customer Review + Feedback Monitoring</t>
  </si>
  <si>
    <t>Reputation management</t>
  </si>
  <si>
    <t>Variable spend based on business needs</t>
  </si>
  <si>
    <t>TOTAL MONTHLY COSTS (Recurring)</t>
  </si>
  <si>
    <t>Excludes one-time setup fees</t>
  </si>
  <si>
    <t xml:space="preserve">Monthly Cost </t>
  </si>
  <si>
    <t>Increased workload across 2 metros</t>
  </si>
  <si>
    <t>PPC Management (15% of ad spend)</t>
  </si>
  <si>
    <t>Based on $200K–$600K ad spend (combined or per metro)</t>
  </si>
  <si>
    <t>Per month</t>
  </si>
  <si>
    <t>Two-market coverage</t>
  </si>
  <si>
    <t>Total across both markets</t>
  </si>
  <si>
    <t>Excludes one-time setup</t>
  </si>
  <si>
    <t>Free Users (New)</t>
  </si>
  <si>
    <t>Paid Subs (New)</t>
  </si>
  <si>
    <t>Total Subs</t>
  </si>
  <si>
    <t>Revenue ($20/ user)</t>
  </si>
  <si>
    <t xml:space="preserve"> YEAR 2 ANNUAL MODEL (Dallas + Atlanta Combined)</t>
  </si>
  <si>
    <t>Dallas Forecast</t>
  </si>
  <si>
    <t>Atlanta Forecast</t>
  </si>
  <si>
    <t>Combined</t>
  </si>
  <si>
    <t>New free users</t>
  </si>
  <si>
    <t>New paid subscribers</t>
  </si>
  <si>
    <t>Total paid subscribers (end of year)</t>
  </si>
  <si>
    <t>Average churn</t>
  </si>
  <si>
    <t>Net subscriber base added</t>
  </si>
  <si>
    <t>CAC (avg)</t>
  </si>
  <si>
    <t>CAC spend</t>
  </si>
  <si>
    <t>Subscription revenue</t>
  </si>
  <si>
    <t>~$95,000</t>
  </si>
  <si>
    <t>~$82,000</t>
  </si>
  <si>
    <t xml:space="preserve">old +new </t>
  </si>
  <si>
    <t>SubSCRIPTION_revenue</t>
  </si>
  <si>
    <t xml:space="preserve">Revenue </t>
  </si>
  <si>
    <t>Cost of Goods Sold (COGS)</t>
  </si>
  <si>
    <t>Gross Profit</t>
  </si>
  <si>
    <t>Net Income</t>
  </si>
  <si>
    <t xml:space="preserve"> Cash Flow from Operating Activities (CFO)</t>
  </si>
  <si>
    <t>Cash Flow from Investing Activities (CFI)</t>
  </si>
  <si>
    <t>Net Change in Cash</t>
  </si>
  <si>
    <t>Beginning Cash</t>
  </si>
  <si>
    <t>ending cash</t>
  </si>
  <si>
    <t>Notes / Georgia-Specific Basis</t>
  </si>
  <si>
    <t>Business Registration &amp; Corporate Governance</t>
  </si>
  <si>
    <t>Georgia SOS filing + annual compliance; similar to Texas but slightly higher attorney review time.</t>
  </si>
  <si>
    <t>GA title work is attorney-run; probate issues more common; $700 per complex review × 30 cases.</t>
  </si>
  <si>
    <t>Closing Attorney Fees (Mandatory)</t>
  </si>
  <si>
    <t>Georgia law requires an attorney for ALL closings. Estimated $1,000 × 18 closings (10% of 180 homes needing deeper attorney review).</t>
  </si>
  <si>
    <t>Subscription Product Legal (TOS, Privacy, SaaS)</t>
  </si>
  <si>
    <t>Slightly higher due to multi-state data compliance review; standard range from Osano/Termly/Iubenda.</t>
  </si>
  <si>
    <t>Atlanta HR law firms charge $300–$450/hr; includes onboarding, contractor compliance, and multi-state HR alignment.</t>
  </si>
  <si>
    <t>Office Lease Legal (Atlanta office)</t>
  </si>
  <si>
    <t>$1,000 per lease review; similar to Dallas.</t>
  </si>
  <si>
    <t>Fractional GC support for multi-state operations; $3.3k/month average. Reflects added new-market legal overhead.</t>
  </si>
  <si>
    <t>Miscexp</t>
  </si>
  <si>
    <t>PACKERS AND MOVERS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</si>
</sst>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 (Body)"/>
    </font>
    <font>
      <sz val="11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indexed="52"/>
      <name val="Calibri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b/>
      <sz val="11"/>
      <color rgb="FFFF0000"/>
      <name val="Calibri (Body)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</patternFill>
    </fill>
    <fill>
      <patternFill patternType="solid">
        <fgColor indexed="22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0" fontId="5" fillId="3" borderId="2" applyNumberFormat="0" applyAlignment="0" applyProtection="0"/>
    <xf numFmtId="0" fontId="1" fillId="0" borderId="0"/>
    <xf numFmtId="0" fontId="6" fillId="4" borderId="2" applyNumberFormat="0" applyAlignment="0" applyProtection="0"/>
  </cellStyleXfs>
  <cellXfs count="36">
    <xf numFmtId="0" fontId="0" fillId="0" borderId="0" xfId="0"/>
    <xf numFmtId="0" fontId="2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44" fontId="0" fillId="0" borderId="0" xfId="1" applyFont="1"/>
    <xf numFmtId="1" fontId="0" fillId="0" borderId="0" xfId="0" applyNumberFormat="1"/>
    <xf numFmtId="0" fontId="2" fillId="0" borderId="0" xfId="0" applyFont="1"/>
    <xf numFmtId="6" fontId="0" fillId="0" borderId="0" xfId="0" applyNumberFormat="1"/>
    <xf numFmtId="6" fontId="2" fillId="0" borderId="0" xfId="0" applyNumberFormat="1" applyFont="1"/>
    <xf numFmtId="1" fontId="5" fillId="3" borderId="2" xfId="2" applyNumberFormat="1"/>
    <xf numFmtId="1" fontId="5" fillId="5" borderId="2" xfId="2" applyNumberFormat="1" applyFill="1"/>
    <xf numFmtId="0" fontId="9" fillId="6" borderId="0" xfId="0" applyFont="1" applyFill="1"/>
    <xf numFmtId="0" fontId="1" fillId="0" borderId="0" xfId="3"/>
    <xf numFmtId="1" fontId="6" fillId="5" borderId="2" xfId="4" applyNumberFormat="1" applyFill="1"/>
    <xf numFmtId="1" fontId="6" fillId="4" borderId="2" xfId="4" applyNumberFormat="1"/>
    <xf numFmtId="0" fontId="10" fillId="0" borderId="0" xfId="0" applyFont="1"/>
    <xf numFmtId="0" fontId="11" fillId="0" borderId="0" xfId="0" applyFont="1"/>
    <xf numFmtId="8" fontId="0" fillId="0" borderId="0" xfId="0" applyNumberFormat="1"/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6" fontId="13" fillId="0" borderId="3" xfId="0" applyNumberFormat="1" applyFont="1" applyBorder="1" applyAlignment="1">
      <alignment vertical="center" wrapText="1"/>
    </xf>
    <xf numFmtId="3" fontId="0" fillId="0" borderId="0" xfId="0" applyNumberFormat="1"/>
    <xf numFmtId="3" fontId="13" fillId="0" borderId="3" xfId="0" applyNumberFormat="1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vertical="center" wrapText="1"/>
    </xf>
    <xf numFmtId="3" fontId="8" fillId="0" borderId="3" xfId="0" applyNumberFormat="1" applyFont="1" applyBorder="1" applyAlignment="1">
      <alignment vertical="center" wrapText="1"/>
    </xf>
    <xf numFmtId="10" fontId="7" fillId="0" borderId="3" xfId="0" applyNumberFormat="1" applyFont="1" applyBorder="1" applyAlignment="1">
      <alignment vertical="center" wrapText="1"/>
    </xf>
    <xf numFmtId="9" fontId="7" fillId="0" borderId="3" xfId="0" applyNumberFormat="1" applyFont="1" applyBorder="1" applyAlignment="1">
      <alignment vertical="center" wrapText="1"/>
    </xf>
    <xf numFmtId="6" fontId="7" fillId="0" borderId="3" xfId="0" applyNumberFormat="1" applyFont="1" applyBorder="1" applyAlignment="1">
      <alignment vertical="center" wrapText="1"/>
    </xf>
    <xf numFmtId="6" fontId="8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164" fontId="8" fillId="0" borderId="3" xfId="0" applyNumberFormat="1" applyFont="1" applyBorder="1" applyAlignment="1">
      <alignment vertical="center" wrapText="1"/>
    </xf>
  </cellXfs>
  <cellStyles count="5">
    <cellStyle name="Calculation" xfId="2" builtinId="22"/>
    <cellStyle name="Calculation 2" xfId="4" xr:uid="{7048F84E-C6BA-3449-8E49-259DF1AB6B03}"/>
    <cellStyle name="Currency" xfId="1" builtinId="4"/>
    <cellStyle name="Normal" xfId="0" builtinId="0"/>
    <cellStyle name="Normal 2" xfId="3" xr:uid="{91D16B86-BE4C-3B4F-92B9-28F38A7B6A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7434-5711-4844-80CA-043A96CE544D}">
  <dimension ref="A1:V398"/>
  <sheetViews>
    <sheetView topLeftCell="B1" zoomScale="93" workbookViewId="0">
      <selection activeCell="H2" sqref="H2:H3"/>
    </sheetView>
  </sheetViews>
  <sheetFormatPr baseColWidth="10" defaultRowHeight="16" x14ac:dyDescent="0.2"/>
  <cols>
    <col min="1" max="16384" width="10.83203125" style="13"/>
  </cols>
  <sheetData>
    <row r="1" spans="1:22" x14ac:dyDescent="0.2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86</v>
      </c>
      <c r="H1" s="13" t="s">
        <v>87</v>
      </c>
      <c r="I1" s="13" t="s">
        <v>88</v>
      </c>
      <c r="J1" s="13" t="s">
        <v>89</v>
      </c>
      <c r="K1" s="13" t="s">
        <v>90</v>
      </c>
      <c r="L1" s="13" t="s">
        <v>91</v>
      </c>
      <c r="M1" s="13" t="s">
        <v>92</v>
      </c>
      <c r="N1" s="13" t="s">
        <v>93</v>
      </c>
      <c r="O1" s="13" t="s">
        <v>94</v>
      </c>
      <c r="P1" s="13" t="s">
        <v>95</v>
      </c>
      <c r="Q1" s="13" t="s">
        <v>55</v>
      </c>
      <c r="R1" s="13" t="s">
        <v>96</v>
      </c>
      <c r="S1" s="13" t="s">
        <v>97</v>
      </c>
      <c r="T1" s="13" t="s">
        <v>98</v>
      </c>
      <c r="U1" s="13" t="s">
        <v>99</v>
      </c>
      <c r="V1" s="13" t="s">
        <v>100</v>
      </c>
    </row>
    <row r="2" spans="1:22" x14ac:dyDescent="0.2">
      <c r="A2" s="13">
        <v>1</v>
      </c>
      <c r="B2" s="13" t="s">
        <v>101</v>
      </c>
      <c r="C2" s="13">
        <v>2</v>
      </c>
      <c r="D2" s="13" t="s">
        <v>102</v>
      </c>
      <c r="E2" s="13">
        <v>13</v>
      </c>
      <c r="F2" s="13">
        <v>17</v>
      </c>
      <c r="G2" s="13">
        <v>4</v>
      </c>
      <c r="H2" s="13">
        <v>338000</v>
      </c>
      <c r="I2" s="13">
        <v>27642.991999999998</v>
      </c>
      <c r="J2" s="13">
        <v>4447.8784912198998</v>
      </c>
      <c r="K2" s="13">
        <v>27642.991999999998</v>
      </c>
      <c r="L2" s="13">
        <v>397733.86249121901</v>
      </c>
      <c r="M2" s="13">
        <v>450.666666666666</v>
      </c>
      <c r="N2" s="13">
        <v>2027.99999999999</v>
      </c>
      <c r="O2" s="13">
        <v>240</v>
      </c>
      <c r="P2" s="13">
        <v>200</v>
      </c>
      <c r="Q2" s="13">
        <v>2918.6666666666601</v>
      </c>
      <c r="R2" s="13">
        <v>3380</v>
      </c>
      <c r="S2" s="13">
        <v>4772.8063498946303</v>
      </c>
      <c r="T2" s="13">
        <v>10140</v>
      </c>
      <c r="U2" s="13">
        <v>11932.0158747365</v>
      </c>
      <c r="V2" s="15">
        <f>L2-H2</f>
        <v>59733.862491219013</v>
      </c>
    </row>
    <row r="3" spans="1:22" x14ac:dyDescent="0.2">
      <c r="A3" s="13">
        <v>2</v>
      </c>
      <c r="B3" s="13" t="s">
        <v>101</v>
      </c>
      <c r="C3" s="13">
        <v>2</v>
      </c>
      <c r="D3" s="13" t="s">
        <v>102</v>
      </c>
      <c r="E3" s="13">
        <v>13</v>
      </c>
      <c r="F3" s="13">
        <v>17</v>
      </c>
      <c r="G3" s="13">
        <v>4</v>
      </c>
      <c r="H3" s="13">
        <v>338000</v>
      </c>
      <c r="I3" s="13">
        <v>27642.991999999998</v>
      </c>
      <c r="J3" s="13">
        <v>4447.8784912198998</v>
      </c>
      <c r="K3" s="13">
        <v>27642.991999999998</v>
      </c>
      <c r="L3" s="13">
        <v>397733.86249121901</v>
      </c>
      <c r="M3" s="13">
        <v>450.666666666666</v>
      </c>
      <c r="N3" s="13">
        <v>2027.99999999999</v>
      </c>
      <c r="O3" s="13">
        <v>240</v>
      </c>
      <c r="P3" s="13">
        <v>200</v>
      </c>
      <c r="Q3" s="13">
        <v>2918.6666666666601</v>
      </c>
      <c r="R3" s="13">
        <v>3380</v>
      </c>
      <c r="S3" s="13">
        <v>4772.8063498946303</v>
      </c>
      <c r="T3" s="13">
        <v>10140</v>
      </c>
      <c r="U3" s="13">
        <v>11932.0158747365</v>
      </c>
      <c r="V3" s="15">
        <f>L3-H3</f>
        <v>59733.862491219013</v>
      </c>
    </row>
    <row r="4" spans="1:22" x14ac:dyDescent="0.2">
      <c r="V4" s="14">
        <f>SUM(V2:V3)</f>
        <v>119467.72498243803</v>
      </c>
    </row>
    <row r="5" spans="1:22" x14ac:dyDescent="0.2">
      <c r="A5" s="13">
        <v>3</v>
      </c>
      <c r="B5" s="13" t="s">
        <v>101</v>
      </c>
      <c r="C5" s="13">
        <v>2</v>
      </c>
      <c r="D5" s="13" t="s">
        <v>103</v>
      </c>
      <c r="E5" s="13">
        <v>13</v>
      </c>
      <c r="F5" s="13">
        <v>18</v>
      </c>
      <c r="G5" s="13">
        <v>5</v>
      </c>
      <c r="H5" s="13">
        <v>443000</v>
      </c>
      <c r="I5" s="13">
        <v>27172.733999999899</v>
      </c>
      <c r="J5" s="13">
        <v>8199.7467798370599</v>
      </c>
      <c r="K5" s="13">
        <v>27172.733999999899</v>
      </c>
      <c r="L5" s="13">
        <v>505545.214779837</v>
      </c>
      <c r="M5" s="13">
        <v>738.33333333333303</v>
      </c>
      <c r="N5" s="13">
        <v>3322.49999999999</v>
      </c>
      <c r="O5" s="13">
        <v>300</v>
      </c>
      <c r="P5" s="13">
        <v>250</v>
      </c>
      <c r="Q5" s="13">
        <v>4610.8333333333303</v>
      </c>
      <c r="R5" s="13">
        <v>4430</v>
      </c>
      <c r="S5" s="13">
        <v>6066.54257735804</v>
      </c>
      <c r="T5" s="13">
        <v>13290</v>
      </c>
      <c r="U5" s="13">
        <v>15166.3564433951</v>
      </c>
      <c r="V5" s="15">
        <f t="shared" ref="V5:V11" si="0">L5-H5</f>
        <v>62545.214779836999</v>
      </c>
    </row>
    <row r="6" spans="1:22" x14ac:dyDescent="0.2">
      <c r="A6" s="13">
        <v>4</v>
      </c>
      <c r="B6" s="13" t="s">
        <v>101</v>
      </c>
      <c r="C6" s="13">
        <v>2</v>
      </c>
      <c r="D6" s="13" t="s">
        <v>103</v>
      </c>
      <c r="E6" s="13">
        <v>13</v>
      </c>
      <c r="F6" s="13">
        <v>18</v>
      </c>
      <c r="G6" s="13">
        <v>5</v>
      </c>
      <c r="H6" s="13">
        <v>443000</v>
      </c>
      <c r="I6" s="13">
        <v>27172.733999999899</v>
      </c>
      <c r="J6" s="13">
        <v>8199.7467798370599</v>
      </c>
      <c r="K6" s="13">
        <v>27172.733999999899</v>
      </c>
      <c r="L6" s="13">
        <v>505545.214779837</v>
      </c>
      <c r="M6" s="13">
        <v>738.33333333333303</v>
      </c>
      <c r="N6" s="13">
        <v>3322.49999999999</v>
      </c>
      <c r="O6" s="13">
        <v>300</v>
      </c>
      <c r="P6" s="13">
        <v>250</v>
      </c>
      <c r="Q6" s="13">
        <v>4610.8333333333303</v>
      </c>
      <c r="R6" s="13">
        <v>4430</v>
      </c>
      <c r="S6" s="13">
        <v>6066.54257735804</v>
      </c>
      <c r="T6" s="13">
        <v>13290</v>
      </c>
      <c r="U6" s="13">
        <v>15166.3564433951</v>
      </c>
      <c r="V6" s="15">
        <f t="shared" si="0"/>
        <v>62545.214779836999</v>
      </c>
    </row>
    <row r="7" spans="1:22" x14ac:dyDescent="0.2">
      <c r="A7" s="13">
        <v>5</v>
      </c>
      <c r="B7" s="13" t="s">
        <v>101</v>
      </c>
      <c r="C7" s="13">
        <v>2</v>
      </c>
      <c r="D7" s="13" t="s">
        <v>103</v>
      </c>
      <c r="E7" s="13">
        <v>13</v>
      </c>
      <c r="F7" s="13">
        <v>18</v>
      </c>
      <c r="G7" s="13">
        <v>5</v>
      </c>
      <c r="H7" s="13">
        <v>443000</v>
      </c>
      <c r="I7" s="13">
        <v>27172.733999999899</v>
      </c>
      <c r="J7" s="13">
        <v>8199.7467798370599</v>
      </c>
      <c r="K7" s="13">
        <v>27172.733999999899</v>
      </c>
      <c r="L7" s="13">
        <v>505545.214779837</v>
      </c>
      <c r="M7" s="13">
        <v>738.33333333333303</v>
      </c>
      <c r="N7" s="13">
        <v>3322.49999999999</v>
      </c>
      <c r="O7" s="13">
        <v>300</v>
      </c>
      <c r="P7" s="13">
        <v>250</v>
      </c>
      <c r="Q7" s="13">
        <v>4610.8333333333303</v>
      </c>
      <c r="R7" s="13">
        <v>4430</v>
      </c>
      <c r="S7" s="13">
        <v>6066.54257735804</v>
      </c>
      <c r="T7" s="13">
        <v>13290</v>
      </c>
      <c r="U7" s="13">
        <v>15166.3564433951</v>
      </c>
      <c r="V7" s="15">
        <f t="shared" si="0"/>
        <v>62545.214779836999</v>
      </c>
    </row>
    <row r="8" spans="1:22" x14ac:dyDescent="0.2">
      <c r="A8" s="13">
        <v>8</v>
      </c>
      <c r="B8" s="13" t="s">
        <v>101</v>
      </c>
      <c r="C8" s="13">
        <v>2</v>
      </c>
      <c r="D8" s="13" t="s">
        <v>102</v>
      </c>
      <c r="E8" s="13">
        <v>14</v>
      </c>
      <c r="F8" s="13">
        <v>18</v>
      </c>
      <c r="G8" s="13">
        <v>4</v>
      </c>
      <c r="H8" s="13">
        <v>338000</v>
      </c>
      <c r="I8" s="13">
        <v>27642.991999999998</v>
      </c>
      <c r="J8" s="13">
        <v>4447.8784912198998</v>
      </c>
      <c r="K8" s="13">
        <v>27642.991999999998</v>
      </c>
      <c r="L8" s="13">
        <v>397733.86249121901</v>
      </c>
      <c r="M8" s="13">
        <v>450.666666666666</v>
      </c>
      <c r="N8" s="13">
        <v>2027.99999999999</v>
      </c>
      <c r="O8" s="13">
        <v>240</v>
      </c>
      <c r="P8" s="13">
        <v>200</v>
      </c>
      <c r="Q8" s="13">
        <v>2918.6666666666601</v>
      </c>
      <c r="R8" s="13">
        <v>3380</v>
      </c>
      <c r="S8" s="13">
        <v>4772.8063498946303</v>
      </c>
      <c r="T8" s="13">
        <v>10140</v>
      </c>
      <c r="U8" s="13">
        <v>11932.0158747365</v>
      </c>
      <c r="V8" s="15">
        <f t="shared" si="0"/>
        <v>59733.862491219013</v>
      </c>
    </row>
    <row r="9" spans="1:22" x14ac:dyDescent="0.2">
      <c r="A9" s="13">
        <v>9</v>
      </c>
      <c r="B9" s="13" t="s">
        <v>101</v>
      </c>
      <c r="C9" s="13">
        <v>2</v>
      </c>
      <c r="D9" s="13" t="s">
        <v>102</v>
      </c>
      <c r="E9" s="13">
        <v>14</v>
      </c>
      <c r="F9" s="13">
        <v>18</v>
      </c>
      <c r="G9" s="13">
        <v>4</v>
      </c>
      <c r="H9" s="13">
        <v>338000</v>
      </c>
      <c r="I9" s="13">
        <v>27642.991999999998</v>
      </c>
      <c r="J9" s="13">
        <v>4447.8784912198998</v>
      </c>
      <c r="K9" s="13">
        <v>27642.991999999998</v>
      </c>
      <c r="L9" s="13">
        <v>397733.86249121901</v>
      </c>
      <c r="M9" s="13">
        <v>450.666666666666</v>
      </c>
      <c r="N9" s="13">
        <v>2027.99999999999</v>
      </c>
      <c r="O9" s="13">
        <v>240</v>
      </c>
      <c r="P9" s="13">
        <v>200</v>
      </c>
      <c r="Q9" s="13">
        <v>2918.6666666666601</v>
      </c>
      <c r="R9" s="13">
        <v>3380</v>
      </c>
      <c r="S9" s="13">
        <v>4772.8063498946303</v>
      </c>
      <c r="T9" s="13">
        <v>10140</v>
      </c>
      <c r="U9" s="13">
        <v>11932.0158747365</v>
      </c>
      <c r="V9" s="15">
        <f t="shared" si="0"/>
        <v>59733.862491219013</v>
      </c>
    </row>
    <row r="10" spans="1:22" x14ac:dyDescent="0.2">
      <c r="A10" s="13">
        <v>11</v>
      </c>
      <c r="B10" s="13" t="s">
        <v>101</v>
      </c>
      <c r="C10" s="13">
        <v>2</v>
      </c>
      <c r="D10" s="13" t="s">
        <v>102</v>
      </c>
      <c r="E10" s="13">
        <v>14</v>
      </c>
      <c r="F10" s="13">
        <v>18</v>
      </c>
      <c r="G10" s="13">
        <v>4</v>
      </c>
      <c r="H10" s="13">
        <v>338000</v>
      </c>
      <c r="I10" s="13">
        <v>27642.991999999998</v>
      </c>
      <c r="J10" s="13">
        <v>4447.8784912198998</v>
      </c>
      <c r="K10" s="13">
        <v>27642.991999999998</v>
      </c>
      <c r="L10" s="13">
        <v>397733.86249121901</v>
      </c>
      <c r="M10" s="13">
        <v>450.666666666666</v>
      </c>
      <c r="N10" s="13">
        <v>2027.99999999999</v>
      </c>
      <c r="O10" s="13">
        <v>240</v>
      </c>
      <c r="P10" s="13">
        <v>200</v>
      </c>
      <c r="Q10" s="13">
        <v>2918.6666666666601</v>
      </c>
      <c r="R10" s="13">
        <v>3380</v>
      </c>
      <c r="S10" s="13">
        <v>4772.8063498946303</v>
      </c>
      <c r="T10" s="13">
        <v>10140</v>
      </c>
      <c r="U10" s="13">
        <v>11932.0158747365</v>
      </c>
      <c r="V10" s="15">
        <f t="shared" si="0"/>
        <v>59733.862491219013</v>
      </c>
    </row>
    <row r="11" spans="1:22" x14ac:dyDescent="0.2">
      <c r="A11" s="13">
        <v>22</v>
      </c>
      <c r="B11" s="13" t="s">
        <v>101</v>
      </c>
      <c r="C11" s="13">
        <v>2</v>
      </c>
      <c r="D11" s="13" t="s">
        <v>102</v>
      </c>
      <c r="E11" s="13">
        <v>15</v>
      </c>
      <c r="F11" s="13">
        <v>18</v>
      </c>
      <c r="G11" s="13">
        <v>3</v>
      </c>
      <c r="H11" s="13">
        <v>338000</v>
      </c>
      <c r="I11" s="13">
        <v>27642.991999999998</v>
      </c>
      <c r="J11" s="13">
        <v>3330.4514135514601</v>
      </c>
      <c r="K11" s="13">
        <v>27642.991999999998</v>
      </c>
      <c r="L11" s="13">
        <v>396616.43541355099</v>
      </c>
      <c r="M11" s="13">
        <v>338</v>
      </c>
      <c r="N11" s="13">
        <v>1520.99999999999</v>
      </c>
      <c r="O11" s="13">
        <v>180</v>
      </c>
      <c r="P11" s="13">
        <v>150</v>
      </c>
      <c r="Q11" s="13">
        <v>2189</v>
      </c>
      <c r="R11" s="13">
        <v>3380</v>
      </c>
      <c r="S11" s="13">
        <v>4759.3972249626104</v>
      </c>
      <c r="T11" s="13">
        <v>10140</v>
      </c>
      <c r="U11" s="13">
        <v>11898.4930624065</v>
      </c>
      <c r="V11" s="15">
        <f t="shared" si="0"/>
        <v>58616.435413550993</v>
      </c>
    </row>
    <row r="12" spans="1:22" x14ac:dyDescent="0.2">
      <c r="V12" s="14">
        <f>SUM(V5:V11)</f>
        <v>425453.66722671903</v>
      </c>
    </row>
    <row r="13" spans="1:22" x14ac:dyDescent="0.2">
      <c r="A13" s="13">
        <v>6</v>
      </c>
      <c r="B13" s="13" t="s">
        <v>101</v>
      </c>
      <c r="C13" s="13">
        <v>2</v>
      </c>
      <c r="D13" s="13" t="s">
        <v>103</v>
      </c>
      <c r="E13" s="13">
        <v>13</v>
      </c>
      <c r="F13" s="13">
        <v>19</v>
      </c>
      <c r="G13" s="13">
        <v>6</v>
      </c>
      <c r="H13" s="13">
        <v>443000</v>
      </c>
      <c r="I13" s="13">
        <v>27172.733999999899</v>
      </c>
      <c r="J13" s="13">
        <v>9857.8198507783309</v>
      </c>
      <c r="K13" s="13">
        <v>27172.733999999899</v>
      </c>
      <c r="L13" s="13">
        <v>507203.28785077803</v>
      </c>
      <c r="M13" s="13">
        <v>886</v>
      </c>
      <c r="N13" s="13">
        <v>3986.99999999999</v>
      </c>
      <c r="O13" s="13">
        <v>360</v>
      </c>
      <c r="P13" s="13">
        <v>300</v>
      </c>
      <c r="Q13" s="13">
        <v>5533</v>
      </c>
      <c r="R13" s="13">
        <v>4430</v>
      </c>
      <c r="S13" s="13">
        <v>6086.4394542093396</v>
      </c>
      <c r="T13" s="13">
        <v>13290</v>
      </c>
      <c r="U13" s="13">
        <v>15216.0986355233</v>
      </c>
      <c r="V13" s="15">
        <f t="shared" ref="V13:V24" si="1">L13-H13</f>
        <v>64203.287850778026</v>
      </c>
    </row>
    <row r="14" spans="1:22" x14ac:dyDescent="0.2">
      <c r="A14" s="13">
        <v>7</v>
      </c>
      <c r="B14" s="13" t="s">
        <v>101</v>
      </c>
      <c r="C14" s="13">
        <v>2</v>
      </c>
      <c r="D14" s="13" t="s">
        <v>104</v>
      </c>
      <c r="E14" s="13">
        <v>13</v>
      </c>
      <c r="F14" s="13">
        <v>19</v>
      </c>
      <c r="G14" s="13">
        <v>6</v>
      </c>
      <c r="H14" s="13">
        <v>676000</v>
      </c>
      <c r="I14" s="13">
        <v>34553.74</v>
      </c>
      <c r="J14" s="13">
        <v>16693.871778868899</v>
      </c>
      <c r="K14" s="13">
        <v>34553.74</v>
      </c>
      <c r="L14" s="13">
        <v>761801.351778868</v>
      </c>
      <c r="M14" s="13">
        <v>1352</v>
      </c>
      <c r="N14" s="13">
        <v>6083.99999999999</v>
      </c>
      <c r="O14" s="13">
        <v>360</v>
      </c>
      <c r="P14" s="13">
        <v>300</v>
      </c>
      <c r="Q14" s="13">
        <v>8095.99999999999</v>
      </c>
      <c r="R14" s="13">
        <v>6760</v>
      </c>
      <c r="S14" s="13">
        <v>9141.6162213464195</v>
      </c>
      <c r="T14" s="13">
        <v>20280</v>
      </c>
      <c r="U14" s="13">
        <v>22854.040553366001</v>
      </c>
      <c r="V14" s="15">
        <f t="shared" si="1"/>
        <v>85801.351778868004</v>
      </c>
    </row>
    <row r="15" spans="1:22" x14ac:dyDescent="0.2">
      <c r="A15" s="13">
        <v>10</v>
      </c>
      <c r="B15" s="13" t="s">
        <v>101</v>
      </c>
      <c r="C15" s="13">
        <v>2</v>
      </c>
      <c r="D15" s="13" t="s">
        <v>102</v>
      </c>
      <c r="E15" s="13">
        <v>14</v>
      </c>
      <c r="F15" s="13">
        <v>19</v>
      </c>
      <c r="G15" s="13">
        <v>5</v>
      </c>
      <c r="H15" s="13">
        <v>338000</v>
      </c>
      <c r="I15" s="13">
        <v>27642.991999999998</v>
      </c>
      <c r="J15" s="13">
        <v>5568.9637343662098</v>
      </c>
      <c r="K15" s="13">
        <v>27642.991999999998</v>
      </c>
      <c r="L15" s="13">
        <v>398854.947734366</v>
      </c>
      <c r="M15" s="13">
        <v>563.33333333333303</v>
      </c>
      <c r="N15" s="13">
        <v>2534.99999999999</v>
      </c>
      <c r="O15" s="13">
        <v>300</v>
      </c>
      <c r="P15" s="13">
        <v>250</v>
      </c>
      <c r="Q15" s="13">
        <v>3648.3333333333298</v>
      </c>
      <c r="R15" s="13">
        <v>3380</v>
      </c>
      <c r="S15" s="13">
        <v>4786.2593728123902</v>
      </c>
      <c r="T15" s="13">
        <v>10140</v>
      </c>
      <c r="U15" s="13">
        <v>11965.648432030899</v>
      </c>
      <c r="V15" s="15">
        <f t="shared" si="1"/>
        <v>60854.947734365996</v>
      </c>
    </row>
    <row r="16" spans="1:22" x14ac:dyDescent="0.2">
      <c r="A16" s="13">
        <v>14</v>
      </c>
      <c r="B16" s="13" t="s">
        <v>101</v>
      </c>
      <c r="C16" s="13">
        <v>2</v>
      </c>
      <c r="D16" s="13" t="s">
        <v>103</v>
      </c>
      <c r="E16" s="13">
        <v>14</v>
      </c>
      <c r="F16" s="13">
        <v>19</v>
      </c>
      <c r="G16" s="13">
        <v>5</v>
      </c>
      <c r="H16" s="13">
        <v>443000</v>
      </c>
      <c r="I16" s="13">
        <v>27172.733999999899</v>
      </c>
      <c r="J16" s="13">
        <v>8199.7467798370599</v>
      </c>
      <c r="K16" s="13">
        <v>27172.733999999899</v>
      </c>
      <c r="L16" s="13">
        <v>505545.214779837</v>
      </c>
      <c r="M16" s="13">
        <v>738.33333333333303</v>
      </c>
      <c r="N16" s="13">
        <v>3322.49999999999</v>
      </c>
      <c r="O16" s="13">
        <v>300</v>
      </c>
      <c r="P16" s="13">
        <v>250</v>
      </c>
      <c r="Q16" s="13">
        <v>4610.8333333333303</v>
      </c>
      <c r="R16" s="13">
        <v>4430</v>
      </c>
      <c r="S16" s="13">
        <v>6066.54257735804</v>
      </c>
      <c r="T16" s="13">
        <v>13290</v>
      </c>
      <c r="U16" s="13">
        <v>15166.3564433951</v>
      </c>
      <c r="V16" s="15">
        <f t="shared" si="1"/>
        <v>62545.214779836999</v>
      </c>
    </row>
    <row r="17" spans="1:22" x14ac:dyDescent="0.2">
      <c r="A17" s="13">
        <v>16</v>
      </c>
      <c r="B17" s="13" t="s">
        <v>101</v>
      </c>
      <c r="C17" s="13">
        <v>2</v>
      </c>
      <c r="D17" s="13" t="s">
        <v>103</v>
      </c>
      <c r="E17" s="13">
        <v>14</v>
      </c>
      <c r="F17" s="13">
        <v>19</v>
      </c>
      <c r="G17" s="13">
        <v>5</v>
      </c>
      <c r="H17" s="13">
        <v>443000</v>
      </c>
      <c r="I17" s="13">
        <v>27172.733999999899</v>
      </c>
      <c r="J17" s="13">
        <v>8199.7467798370599</v>
      </c>
      <c r="K17" s="13">
        <v>27172.733999999899</v>
      </c>
      <c r="L17" s="13">
        <v>505545.214779837</v>
      </c>
      <c r="M17" s="13">
        <v>738.33333333333303</v>
      </c>
      <c r="N17" s="13">
        <v>3322.49999999999</v>
      </c>
      <c r="O17" s="13">
        <v>300</v>
      </c>
      <c r="P17" s="13">
        <v>250</v>
      </c>
      <c r="Q17" s="13">
        <v>4610.8333333333303</v>
      </c>
      <c r="R17" s="13">
        <v>4430</v>
      </c>
      <c r="S17" s="13">
        <v>6066.54257735804</v>
      </c>
      <c r="T17" s="13">
        <v>13290</v>
      </c>
      <c r="U17" s="13">
        <v>15166.3564433951</v>
      </c>
      <c r="V17" s="15">
        <f t="shared" si="1"/>
        <v>62545.214779836999</v>
      </c>
    </row>
    <row r="18" spans="1:22" x14ac:dyDescent="0.2">
      <c r="A18" s="13">
        <v>21</v>
      </c>
      <c r="B18" s="13" t="s">
        <v>101</v>
      </c>
      <c r="C18" s="13">
        <v>2</v>
      </c>
      <c r="D18" s="13" t="s">
        <v>102</v>
      </c>
      <c r="E18" s="13">
        <v>15</v>
      </c>
      <c r="F18" s="13">
        <v>19</v>
      </c>
      <c r="G18" s="13">
        <v>4</v>
      </c>
      <c r="H18" s="13">
        <v>338000</v>
      </c>
      <c r="I18" s="13">
        <v>27642.991999999998</v>
      </c>
      <c r="J18" s="13">
        <v>4447.8784912198998</v>
      </c>
      <c r="K18" s="13">
        <v>27642.991999999998</v>
      </c>
      <c r="L18" s="13">
        <v>397733.86249121901</v>
      </c>
      <c r="M18" s="13">
        <v>450.666666666666</v>
      </c>
      <c r="N18" s="13">
        <v>2027.99999999999</v>
      </c>
      <c r="O18" s="13">
        <v>240</v>
      </c>
      <c r="P18" s="13">
        <v>200</v>
      </c>
      <c r="Q18" s="13">
        <v>2918.6666666666601</v>
      </c>
      <c r="R18" s="13">
        <v>3380</v>
      </c>
      <c r="S18" s="13">
        <v>4772.8063498946303</v>
      </c>
      <c r="T18" s="13">
        <v>10140</v>
      </c>
      <c r="U18" s="13">
        <v>11932.0158747365</v>
      </c>
      <c r="V18" s="15">
        <f t="shared" si="1"/>
        <v>59733.862491219013</v>
      </c>
    </row>
    <row r="19" spans="1:22" x14ac:dyDescent="0.2">
      <c r="A19" s="13">
        <v>25</v>
      </c>
      <c r="B19" s="13" t="s">
        <v>101</v>
      </c>
      <c r="C19" s="13">
        <v>2</v>
      </c>
      <c r="D19" s="13" t="s">
        <v>103</v>
      </c>
      <c r="E19" s="13">
        <v>15</v>
      </c>
      <c r="F19" s="13">
        <v>19</v>
      </c>
      <c r="G19" s="13">
        <v>4</v>
      </c>
      <c r="H19" s="13">
        <v>443000</v>
      </c>
      <c r="I19" s="13">
        <v>27172.733999999899</v>
      </c>
      <c r="J19" s="13">
        <v>6547.7445023945402</v>
      </c>
      <c r="K19" s="13">
        <v>27172.733999999899</v>
      </c>
      <c r="L19" s="13">
        <v>503893.21250239399</v>
      </c>
      <c r="M19" s="13">
        <v>590.66666666666595</v>
      </c>
      <c r="N19" s="13">
        <v>2657.99999999999</v>
      </c>
      <c r="O19" s="13">
        <v>240</v>
      </c>
      <c r="P19" s="13">
        <v>200</v>
      </c>
      <c r="Q19" s="13">
        <v>3688.6666666666601</v>
      </c>
      <c r="R19" s="13">
        <v>4430</v>
      </c>
      <c r="S19" s="13">
        <v>6046.7185500287296</v>
      </c>
      <c r="T19" s="13">
        <v>13290</v>
      </c>
      <c r="U19" s="13">
        <v>15116.796375071801</v>
      </c>
      <c r="V19" s="15">
        <f t="shared" si="1"/>
        <v>60893.212502393988</v>
      </c>
    </row>
    <row r="20" spans="1:22" x14ac:dyDescent="0.2">
      <c r="A20" s="13">
        <v>26</v>
      </c>
      <c r="B20" s="13" t="s">
        <v>101</v>
      </c>
      <c r="C20" s="13">
        <v>2</v>
      </c>
      <c r="D20" s="13" t="s">
        <v>103</v>
      </c>
      <c r="E20" s="13">
        <v>15</v>
      </c>
      <c r="F20" s="13">
        <v>19</v>
      </c>
      <c r="G20" s="13">
        <v>4</v>
      </c>
      <c r="H20" s="13">
        <v>443000</v>
      </c>
      <c r="I20" s="13">
        <v>27172.733999999899</v>
      </c>
      <c r="J20" s="13">
        <v>6547.7445023945402</v>
      </c>
      <c r="K20" s="13">
        <v>27172.733999999899</v>
      </c>
      <c r="L20" s="13">
        <v>503893.21250239399</v>
      </c>
      <c r="M20" s="13">
        <v>590.66666666666595</v>
      </c>
      <c r="N20" s="13">
        <v>2657.99999999999</v>
      </c>
      <c r="O20" s="13">
        <v>240</v>
      </c>
      <c r="P20" s="13">
        <v>200</v>
      </c>
      <c r="Q20" s="13">
        <v>3688.6666666666601</v>
      </c>
      <c r="R20" s="13">
        <v>4430</v>
      </c>
      <c r="S20" s="13">
        <v>6046.7185500287296</v>
      </c>
      <c r="T20" s="13">
        <v>13290</v>
      </c>
      <c r="U20" s="13">
        <v>15116.796375071801</v>
      </c>
      <c r="V20" s="15">
        <f t="shared" si="1"/>
        <v>60893.212502393988</v>
      </c>
    </row>
    <row r="21" spans="1:22" x14ac:dyDescent="0.2">
      <c r="A21" s="13">
        <v>28</v>
      </c>
      <c r="B21" s="13" t="s">
        <v>101</v>
      </c>
      <c r="C21" s="13">
        <v>2</v>
      </c>
      <c r="D21" s="13" t="s">
        <v>103</v>
      </c>
      <c r="E21" s="13">
        <v>15</v>
      </c>
      <c r="F21" s="13">
        <v>19</v>
      </c>
      <c r="G21" s="13">
        <v>4</v>
      </c>
      <c r="H21" s="13">
        <v>443000</v>
      </c>
      <c r="I21" s="13">
        <v>27172.733999999899</v>
      </c>
      <c r="J21" s="13">
        <v>6547.7445023945402</v>
      </c>
      <c r="K21" s="13">
        <v>27172.733999999899</v>
      </c>
      <c r="L21" s="13">
        <v>503893.21250239399</v>
      </c>
      <c r="M21" s="13">
        <v>590.66666666666595</v>
      </c>
      <c r="N21" s="13">
        <v>2657.99999999999</v>
      </c>
      <c r="O21" s="13">
        <v>240</v>
      </c>
      <c r="P21" s="13">
        <v>200</v>
      </c>
      <c r="Q21" s="13">
        <v>3688.6666666666601</v>
      </c>
      <c r="R21" s="13">
        <v>4430</v>
      </c>
      <c r="S21" s="13">
        <v>6046.7185500287296</v>
      </c>
      <c r="T21" s="13">
        <v>13290</v>
      </c>
      <c r="U21" s="13">
        <v>15116.796375071801</v>
      </c>
      <c r="V21" s="15">
        <f t="shared" si="1"/>
        <v>60893.212502393988</v>
      </c>
    </row>
    <row r="22" spans="1:22" x14ac:dyDescent="0.2">
      <c r="A22" s="13">
        <v>31</v>
      </c>
      <c r="B22" s="13" t="s">
        <v>101</v>
      </c>
      <c r="C22" s="13">
        <v>2</v>
      </c>
      <c r="D22" s="13" t="s">
        <v>102</v>
      </c>
      <c r="E22" s="13">
        <v>16</v>
      </c>
      <c r="F22" s="13">
        <v>19</v>
      </c>
      <c r="G22" s="13">
        <v>3</v>
      </c>
      <c r="H22" s="13">
        <v>338000</v>
      </c>
      <c r="I22" s="13">
        <v>27642.991999999998</v>
      </c>
      <c r="J22" s="13">
        <v>3330.4514135514601</v>
      </c>
      <c r="K22" s="13">
        <v>27642.991999999998</v>
      </c>
      <c r="L22" s="13">
        <v>396616.43541355099</v>
      </c>
      <c r="M22" s="13">
        <v>338</v>
      </c>
      <c r="N22" s="13">
        <v>1520.99999999999</v>
      </c>
      <c r="O22" s="13">
        <v>180</v>
      </c>
      <c r="P22" s="13">
        <v>150</v>
      </c>
      <c r="Q22" s="13">
        <v>2189</v>
      </c>
      <c r="R22" s="13">
        <v>3380</v>
      </c>
      <c r="S22" s="13">
        <v>4759.3972249626104</v>
      </c>
      <c r="T22" s="13">
        <v>10140</v>
      </c>
      <c r="U22" s="13">
        <v>11898.4930624065</v>
      </c>
      <c r="V22" s="15">
        <f t="shared" si="1"/>
        <v>58616.435413550993</v>
      </c>
    </row>
    <row r="23" spans="1:22" x14ac:dyDescent="0.2">
      <c r="A23" s="13">
        <v>33</v>
      </c>
      <c r="B23" s="13" t="s">
        <v>101</v>
      </c>
      <c r="C23" s="13">
        <v>2</v>
      </c>
      <c r="D23" s="13" t="s">
        <v>102</v>
      </c>
      <c r="E23" s="13">
        <v>16</v>
      </c>
      <c r="F23" s="13">
        <v>19</v>
      </c>
      <c r="G23" s="13">
        <v>3</v>
      </c>
      <c r="H23" s="13">
        <v>338000</v>
      </c>
      <c r="I23" s="13">
        <v>27642.991999999998</v>
      </c>
      <c r="J23" s="13">
        <v>3330.4514135514601</v>
      </c>
      <c r="K23" s="13">
        <v>27642.991999999998</v>
      </c>
      <c r="L23" s="13">
        <v>396616.43541355099</v>
      </c>
      <c r="M23" s="13">
        <v>338</v>
      </c>
      <c r="N23" s="13">
        <v>1520.99999999999</v>
      </c>
      <c r="O23" s="13">
        <v>180</v>
      </c>
      <c r="P23" s="13">
        <v>150</v>
      </c>
      <c r="Q23" s="13">
        <v>2189</v>
      </c>
      <c r="R23" s="13">
        <v>3380</v>
      </c>
      <c r="S23" s="13">
        <v>4759.3972249626104</v>
      </c>
      <c r="T23" s="13">
        <v>10140</v>
      </c>
      <c r="U23" s="13">
        <v>11898.4930624065</v>
      </c>
      <c r="V23" s="15">
        <f t="shared" si="1"/>
        <v>58616.435413550993</v>
      </c>
    </row>
    <row r="24" spans="1:22" x14ac:dyDescent="0.2">
      <c r="A24" s="13">
        <v>34</v>
      </c>
      <c r="B24" s="13" t="s">
        <v>101</v>
      </c>
      <c r="C24" s="13">
        <v>2</v>
      </c>
      <c r="D24" s="13" t="s">
        <v>102</v>
      </c>
      <c r="E24" s="13">
        <v>16</v>
      </c>
      <c r="F24" s="13">
        <v>19</v>
      </c>
      <c r="G24" s="13">
        <v>3</v>
      </c>
      <c r="H24" s="13">
        <v>338000</v>
      </c>
      <c r="I24" s="13">
        <v>27642.991999999998</v>
      </c>
      <c r="J24" s="13">
        <v>3330.4514135514601</v>
      </c>
      <c r="K24" s="13">
        <v>27642.991999999998</v>
      </c>
      <c r="L24" s="13">
        <v>396616.43541355099</v>
      </c>
      <c r="M24" s="13">
        <v>338</v>
      </c>
      <c r="N24" s="13">
        <v>1520.99999999999</v>
      </c>
      <c r="O24" s="13">
        <v>180</v>
      </c>
      <c r="P24" s="13">
        <v>150</v>
      </c>
      <c r="Q24" s="13">
        <v>2189</v>
      </c>
      <c r="R24" s="13">
        <v>3380</v>
      </c>
      <c r="S24" s="13">
        <v>4759.3972249626104</v>
      </c>
      <c r="T24" s="13">
        <v>10140</v>
      </c>
      <c r="U24" s="13">
        <v>11898.4930624065</v>
      </c>
      <c r="V24" s="15">
        <f t="shared" si="1"/>
        <v>58616.435413550993</v>
      </c>
    </row>
    <row r="25" spans="1:22" x14ac:dyDescent="0.2">
      <c r="V25" s="14">
        <f>SUM(V13:V24)</f>
        <v>754212.8231627401</v>
      </c>
    </row>
    <row r="26" spans="1:22" x14ac:dyDescent="0.2">
      <c r="A26" s="13">
        <v>12</v>
      </c>
      <c r="B26" s="13" t="s">
        <v>101</v>
      </c>
      <c r="C26" s="13">
        <v>2</v>
      </c>
      <c r="D26" s="13" t="s">
        <v>103</v>
      </c>
      <c r="E26" s="13">
        <v>14</v>
      </c>
      <c r="F26" s="13">
        <v>20</v>
      </c>
      <c r="G26" s="13">
        <v>6</v>
      </c>
      <c r="H26" s="13">
        <v>443000</v>
      </c>
      <c r="I26" s="13">
        <v>27172.733999999899</v>
      </c>
      <c r="J26" s="13">
        <v>9857.8198507783309</v>
      </c>
      <c r="K26" s="13">
        <v>27172.733999999899</v>
      </c>
      <c r="L26" s="13">
        <v>507203.28785077803</v>
      </c>
      <c r="M26" s="13">
        <v>886</v>
      </c>
      <c r="N26" s="13">
        <v>3986.99999999999</v>
      </c>
      <c r="O26" s="13">
        <v>360</v>
      </c>
      <c r="P26" s="13">
        <v>300</v>
      </c>
      <c r="Q26" s="13">
        <v>5533</v>
      </c>
      <c r="R26" s="13">
        <v>4430</v>
      </c>
      <c r="S26" s="13">
        <v>6086.4394542093396</v>
      </c>
      <c r="T26" s="13">
        <v>13290</v>
      </c>
      <c r="U26" s="13">
        <v>15216.0986355233</v>
      </c>
      <c r="V26" s="15">
        <f t="shared" ref="V26:V35" si="2">L26-H26</f>
        <v>64203.287850778026</v>
      </c>
    </row>
    <row r="27" spans="1:22" x14ac:dyDescent="0.2">
      <c r="A27" s="13">
        <v>13</v>
      </c>
      <c r="B27" s="13" t="s">
        <v>101</v>
      </c>
      <c r="C27" s="13">
        <v>2</v>
      </c>
      <c r="D27" s="13" t="s">
        <v>103</v>
      </c>
      <c r="E27" s="13">
        <v>14</v>
      </c>
      <c r="F27" s="13">
        <v>20</v>
      </c>
      <c r="G27" s="13">
        <v>6</v>
      </c>
      <c r="H27" s="13">
        <v>443000</v>
      </c>
      <c r="I27" s="13">
        <v>27172.733999999899</v>
      </c>
      <c r="J27" s="13">
        <v>9857.8198507783309</v>
      </c>
      <c r="K27" s="13">
        <v>27172.733999999899</v>
      </c>
      <c r="L27" s="13">
        <v>507203.28785077803</v>
      </c>
      <c r="M27" s="13">
        <v>886</v>
      </c>
      <c r="N27" s="13">
        <v>3986.99999999999</v>
      </c>
      <c r="O27" s="13">
        <v>360</v>
      </c>
      <c r="P27" s="13">
        <v>300</v>
      </c>
      <c r="Q27" s="13">
        <v>5533</v>
      </c>
      <c r="R27" s="13">
        <v>4430</v>
      </c>
      <c r="S27" s="13">
        <v>6086.4394542093396</v>
      </c>
      <c r="T27" s="13">
        <v>13290</v>
      </c>
      <c r="U27" s="13">
        <v>15216.0986355233</v>
      </c>
      <c r="V27" s="15">
        <f t="shared" si="2"/>
        <v>64203.287850778026</v>
      </c>
    </row>
    <row r="28" spans="1:22" x14ac:dyDescent="0.2">
      <c r="A28" s="13">
        <v>15</v>
      </c>
      <c r="B28" s="13" t="s">
        <v>101</v>
      </c>
      <c r="C28" s="13">
        <v>2</v>
      </c>
      <c r="D28" s="13" t="s">
        <v>103</v>
      </c>
      <c r="E28" s="13">
        <v>14</v>
      </c>
      <c r="F28" s="13">
        <v>20</v>
      </c>
      <c r="G28" s="13">
        <v>6</v>
      </c>
      <c r="H28" s="13">
        <v>443000</v>
      </c>
      <c r="I28" s="13">
        <v>27172.733999999899</v>
      </c>
      <c r="J28" s="13">
        <v>9857.8198507783309</v>
      </c>
      <c r="K28" s="13">
        <v>27172.733999999899</v>
      </c>
      <c r="L28" s="13">
        <v>507203.28785077803</v>
      </c>
      <c r="M28" s="13">
        <v>886</v>
      </c>
      <c r="N28" s="13">
        <v>3986.99999999999</v>
      </c>
      <c r="O28" s="13">
        <v>360</v>
      </c>
      <c r="P28" s="13">
        <v>300</v>
      </c>
      <c r="Q28" s="13">
        <v>5533</v>
      </c>
      <c r="R28" s="13">
        <v>4430</v>
      </c>
      <c r="S28" s="13">
        <v>6086.4394542093396</v>
      </c>
      <c r="T28" s="13">
        <v>13290</v>
      </c>
      <c r="U28" s="13">
        <v>15216.0986355233</v>
      </c>
      <c r="V28" s="15">
        <f t="shared" si="2"/>
        <v>64203.287850778026</v>
      </c>
    </row>
    <row r="29" spans="1:22" x14ac:dyDescent="0.2">
      <c r="A29" s="13">
        <v>17</v>
      </c>
      <c r="B29" s="13" t="s">
        <v>101</v>
      </c>
      <c r="C29" s="13">
        <v>2</v>
      </c>
      <c r="D29" s="13" t="s">
        <v>104</v>
      </c>
      <c r="E29" s="13">
        <v>14</v>
      </c>
      <c r="F29" s="13">
        <v>20</v>
      </c>
      <c r="G29" s="13">
        <v>6</v>
      </c>
      <c r="H29" s="13">
        <v>676000</v>
      </c>
      <c r="I29" s="13">
        <v>34553.74</v>
      </c>
      <c r="J29" s="13">
        <v>16693.871778868899</v>
      </c>
      <c r="K29" s="13">
        <v>34553.74</v>
      </c>
      <c r="L29" s="13">
        <v>761801.351778868</v>
      </c>
      <c r="M29" s="13">
        <v>1352</v>
      </c>
      <c r="N29" s="13">
        <v>6083.99999999999</v>
      </c>
      <c r="O29" s="13">
        <v>360</v>
      </c>
      <c r="P29" s="13">
        <v>300</v>
      </c>
      <c r="Q29" s="13">
        <v>8095.99999999999</v>
      </c>
      <c r="R29" s="13">
        <v>6760</v>
      </c>
      <c r="S29" s="13">
        <v>9141.6162213464195</v>
      </c>
      <c r="T29" s="13">
        <v>20280</v>
      </c>
      <c r="U29" s="13">
        <v>22854.040553366001</v>
      </c>
      <c r="V29" s="15">
        <f t="shared" si="2"/>
        <v>85801.351778868004</v>
      </c>
    </row>
    <row r="30" spans="1:22" x14ac:dyDescent="0.2">
      <c r="A30" s="13">
        <v>18</v>
      </c>
      <c r="B30" s="13" t="s">
        <v>101</v>
      </c>
      <c r="C30" s="13">
        <v>2</v>
      </c>
      <c r="D30" s="13" t="s">
        <v>102</v>
      </c>
      <c r="E30" s="13">
        <v>15</v>
      </c>
      <c r="F30" s="13">
        <v>20</v>
      </c>
      <c r="G30" s="13">
        <v>5</v>
      </c>
      <c r="H30" s="13">
        <v>338000</v>
      </c>
      <c r="I30" s="13">
        <v>27642.991999999998</v>
      </c>
      <c r="J30" s="13">
        <v>5568.9637343662098</v>
      </c>
      <c r="K30" s="13">
        <v>27642.991999999998</v>
      </c>
      <c r="L30" s="13">
        <v>398854.947734366</v>
      </c>
      <c r="M30" s="13">
        <v>563.33333333333303</v>
      </c>
      <c r="N30" s="13">
        <v>2534.99999999999</v>
      </c>
      <c r="O30" s="13">
        <v>300</v>
      </c>
      <c r="P30" s="13">
        <v>250</v>
      </c>
      <c r="Q30" s="13">
        <v>3648.3333333333298</v>
      </c>
      <c r="R30" s="13">
        <v>3380</v>
      </c>
      <c r="S30" s="13">
        <v>4786.2593728123902</v>
      </c>
      <c r="T30" s="13">
        <v>10140</v>
      </c>
      <c r="U30" s="13">
        <v>11965.648432030899</v>
      </c>
      <c r="V30" s="15">
        <f t="shared" si="2"/>
        <v>60854.947734365996</v>
      </c>
    </row>
    <row r="31" spans="1:22" x14ac:dyDescent="0.2">
      <c r="A31" s="13">
        <v>19</v>
      </c>
      <c r="B31" s="13" t="s">
        <v>101</v>
      </c>
      <c r="C31" s="13">
        <v>2</v>
      </c>
      <c r="D31" s="13" t="s">
        <v>102</v>
      </c>
      <c r="E31" s="13">
        <v>15</v>
      </c>
      <c r="F31" s="13">
        <v>20</v>
      </c>
      <c r="G31" s="13">
        <v>5</v>
      </c>
      <c r="H31" s="13">
        <v>338000</v>
      </c>
      <c r="I31" s="13">
        <v>27642.991999999998</v>
      </c>
      <c r="J31" s="13">
        <v>5568.9637343662098</v>
      </c>
      <c r="K31" s="13">
        <v>27642.991999999998</v>
      </c>
      <c r="L31" s="13">
        <v>398854.947734366</v>
      </c>
      <c r="M31" s="13">
        <v>563.33333333333303</v>
      </c>
      <c r="N31" s="13">
        <v>2534.99999999999</v>
      </c>
      <c r="O31" s="13">
        <v>300</v>
      </c>
      <c r="P31" s="13">
        <v>250</v>
      </c>
      <c r="Q31" s="13">
        <v>3648.3333333333298</v>
      </c>
      <c r="R31" s="13">
        <v>3380</v>
      </c>
      <c r="S31" s="13">
        <v>4786.2593728123902</v>
      </c>
      <c r="T31" s="13">
        <v>10140</v>
      </c>
      <c r="U31" s="13">
        <v>11965.648432030899</v>
      </c>
      <c r="V31" s="15">
        <f t="shared" si="2"/>
        <v>60854.947734365996</v>
      </c>
    </row>
    <row r="32" spans="1:22" x14ac:dyDescent="0.2">
      <c r="A32" s="13">
        <v>20</v>
      </c>
      <c r="B32" s="13" t="s">
        <v>101</v>
      </c>
      <c r="C32" s="13">
        <v>2</v>
      </c>
      <c r="D32" s="13" t="s">
        <v>102</v>
      </c>
      <c r="E32" s="13">
        <v>15</v>
      </c>
      <c r="F32" s="13">
        <v>20</v>
      </c>
      <c r="G32" s="13">
        <v>5</v>
      </c>
      <c r="H32" s="13">
        <v>338000</v>
      </c>
      <c r="I32" s="13">
        <v>27642.991999999998</v>
      </c>
      <c r="J32" s="13">
        <v>5568.9637343662098</v>
      </c>
      <c r="K32" s="13">
        <v>27642.991999999998</v>
      </c>
      <c r="L32" s="13">
        <v>398854.947734366</v>
      </c>
      <c r="M32" s="13">
        <v>563.33333333333303</v>
      </c>
      <c r="N32" s="13">
        <v>2534.99999999999</v>
      </c>
      <c r="O32" s="13">
        <v>300</v>
      </c>
      <c r="P32" s="13">
        <v>250</v>
      </c>
      <c r="Q32" s="13">
        <v>3648.3333333333298</v>
      </c>
      <c r="R32" s="13">
        <v>3380</v>
      </c>
      <c r="S32" s="13">
        <v>4786.2593728123902</v>
      </c>
      <c r="T32" s="13">
        <v>10140</v>
      </c>
      <c r="U32" s="13">
        <v>11965.648432030899</v>
      </c>
      <c r="V32" s="15">
        <f t="shared" si="2"/>
        <v>60854.947734365996</v>
      </c>
    </row>
    <row r="33" spans="1:22" x14ac:dyDescent="0.2">
      <c r="A33" s="13">
        <v>30</v>
      </c>
      <c r="B33" s="13" t="s">
        <v>101</v>
      </c>
      <c r="C33" s="13">
        <v>2</v>
      </c>
      <c r="D33" s="13" t="s">
        <v>104</v>
      </c>
      <c r="E33" s="13">
        <v>15</v>
      </c>
      <c r="F33" s="13">
        <v>20</v>
      </c>
      <c r="G33" s="13">
        <v>5</v>
      </c>
      <c r="H33" s="13">
        <v>676000</v>
      </c>
      <c r="I33" s="13">
        <v>34553.74</v>
      </c>
      <c r="J33" s="13">
        <v>13883.202216778</v>
      </c>
      <c r="K33" s="13">
        <v>34553.74</v>
      </c>
      <c r="L33" s="13">
        <v>758990.682216777</v>
      </c>
      <c r="M33" s="13">
        <v>1126.6666666666599</v>
      </c>
      <c r="N33" s="13">
        <v>5069.99999999999</v>
      </c>
      <c r="O33" s="13">
        <v>300</v>
      </c>
      <c r="P33" s="13">
        <v>250</v>
      </c>
      <c r="Q33" s="13">
        <v>6746.6666666666597</v>
      </c>
      <c r="R33" s="13">
        <v>6760</v>
      </c>
      <c r="S33" s="13">
        <v>9107.8881866013307</v>
      </c>
      <c r="T33" s="13">
        <v>20280</v>
      </c>
      <c r="U33" s="13">
        <v>22769.720466503299</v>
      </c>
      <c r="V33" s="15">
        <f t="shared" si="2"/>
        <v>82990.682216777001</v>
      </c>
    </row>
    <row r="34" spans="1:22" x14ac:dyDescent="0.2">
      <c r="A34" s="13">
        <v>38</v>
      </c>
      <c r="B34" s="13" t="s">
        <v>101</v>
      </c>
      <c r="C34" s="13">
        <v>2</v>
      </c>
      <c r="D34" s="13" t="s">
        <v>103</v>
      </c>
      <c r="E34" s="13">
        <v>16</v>
      </c>
      <c r="F34" s="13">
        <v>20</v>
      </c>
      <c r="G34" s="13">
        <v>4</v>
      </c>
      <c r="H34" s="13">
        <v>443000</v>
      </c>
      <c r="I34" s="13">
        <v>27172.733999999899</v>
      </c>
      <c r="J34" s="13">
        <v>6547.7445023945402</v>
      </c>
      <c r="K34" s="13">
        <v>27172.733999999899</v>
      </c>
      <c r="L34" s="13">
        <v>503893.21250239399</v>
      </c>
      <c r="M34" s="13">
        <v>590.66666666666595</v>
      </c>
      <c r="N34" s="13">
        <v>2657.99999999999</v>
      </c>
      <c r="O34" s="13">
        <v>240</v>
      </c>
      <c r="P34" s="13">
        <v>200</v>
      </c>
      <c r="Q34" s="13">
        <v>3688.6666666666601</v>
      </c>
      <c r="R34" s="13">
        <v>4430</v>
      </c>
      <c r="S34" s="13">
        <v>6046.7185500287296</v>
      </c>
      <c r="T34" s="13">
        <v>13290</v>
      </c>
      <c r="U34" s="13">
        <v>15116.796375071801</v>
      </c>
      <c r="V34" s="15">
        <f t="shared" si="2"/>
        <v>60893.212502393988</v>
      </c>
    </row>
    <row r="35" spans="1:22" x14ac:dyDescent="0.2">
      <c r="A35" s="13">
        <v>42</v>
      </c>
      <c r="B35" s="13" t="s">
        <v>101</v>
      </c>
      <c r="C35" s="13">
        <v>2</v>
      </c>
      <c r="D35" s="13" t="s">
        <v>103</v>
      </c>
      <c r="E35" s="13">
        <v>16</v>
      </c>
      <c r="F35" s="13">
        <v>20</v>
      </c>
      <c r="G35" s="13">
        <v>4</v>
      </c>
      <c r="H35" s="13">
        <v>443000</v>
      </c>
      <c r="I35" s="13">
        <v>27172.733999999899</v>
      </c>
      <c r="J35" s="13">
        <v>6547.7445023945402</v>
      </c>
      <c r="K35" s="13">
        <v>27172.733999999899</v>
      </c>
      <c r="L35" s="13">
        <v>503893.21250239399</v>
      </c>
      <c r="M35" s="13">
        <v>590.66666666666595</v>
      </c>
      <c r="N35" s="13">
        <v>2657.99999999999</v>
      </c>
      <c r="O35" s="13">
        <v>240</v>
      </c>
      <c r="P35" s="13">
        <v>200</v>
      </c>
      <c r="Q35" s="13">
        <v>3688.6666666666601</v>
      </c>
      <c r="R35" s="13">
        <v>4430</v>
      </c>
      <c r="S35" s="13">
        <v>6046.7185500287296</v>
      </c>
      <c r="T35" s="13">
        <v>13290</v>
      </c>
      <c r="U35" s="13">
        <v>15116.796375071801</v>
      </c>
      <c r="V35" s="15">
        <f t="shared" si="2"/>
        <v>60893.212502393988</v>
      </c>
    </row>
    <row r="36" spans="1:22" x14ac:dyDescent="0.2">
      <c r="V36" s="14">
        <f>SUM(V26:V35)</f>
        <v>665753.16575586505</v>
      </c>
    </row>
    <row r="37" spans="1:22" x14ac:dyDescent="0.2">
      <c r="A37" s="13">
        <v>23</v>
      </c>
      <c r="B37" s="13" t="s">
        <v>101</v>
      </c>
      <c r="C37" s="13">
        <v>2</v>
      </c>
      <c r="D37" s="13" t="s">
        <v>103</v>
      </c>
      <c r="E37" s="13">
        <v>15</v>
      </c>
      <c r="F37" s="13">
        <v>21</v>
      </c>
      <c r="G37" s="13">
        <v>6</v>
      </c>
      <c r="H37" s="13">
        <v>443000</v>
      </c>
      <c r="I37" s="13">
        <v>27172.733999999899</v>
      </c>
      <c r="J37" s="13">
        <v>9857.8198507783309</v>
      </c>
      <c r="K37" s="13">
        <v>27172.733999999899</v>
      </c>
      <c r="L37" s="13">
        <v>507203.28785077803</v>
      </c>
      <c r="M37" s="13">
        <v>886</v>
      </c>
      <c r="N37" s="13">
        <v>3986.99999999999</v>
      </c>
      <c r="O37" s="13">
        <v>360</v>
      </c>
      <c r="P37" s="13">
        <v>300</v>
      </c>
      <c r="Q37" s="13">
        <v>5533</v>
      </c>
      <c r="R37" s="13">
        <v>4430</v>
      </c>
      <c r="S37" s="13">
        <v>6086.4394542093396</v>
      </c>
      <c r="T37" s="13">
        <v>13290</v>
      </c>
      <c r="U37" s="13">
        <v>15216.0986355233</v>
      </c>
      <c r="V37" s="15">
        <f t="shared" ref="V37:V61" si="3">L37-H37</f>
        <v>64203.287850778026</v>
      </c>
    </row>
    <row r="38" spans="1:22" x14ac:dyDescent="0.2">
      <c r="A38" s="13">
        <v>24</v>
      </c>
      <c r="B38" s="13" t="s">
        <v>101</v>
      </c>
      <c r="C38" s="13">
        <v>2</v>
      </c>
      <c r="D38" s="13" t="s">
        <v>103</v>
      </c>
      <c r="E38" s="13">
        <v>15</v>
      </c>
      <c r="F38" s="13">
        <v>21</v>
      </c>
      <c r="G38" s="13">
        <v>6</v>
      </c>
      <c r="H38" s="13">
        <v>443000</v>
      </c>
      <c r="I38" s="13">
        <v>27172.733999999899</v>
      </c>
      <c r="J38" s="13">
        <v>9857.8198507783309</v>
      </c>
      <c r="K38" s="13">
        <v>27172.733999999899</v>
      </c>
      <c r="L38" s="13">
        <v>507203.28785077803</v>
      </c>
      <c r="M38" s="13">
        <v>886</v>
      </c>
      <c r="N38" s="13">
        <v>3986.99999999999</v>
      </c>
      <c r="O38" s="13">
        <v>360</v>
      </c>
      <c r="P38" s="13">
        <v>300</v>
      </c>
      <c r="Q38" s="13">
        <v>5533</v>
      </c>
      <c r="R38" s="13">
        <v>4430</v>
      </c>
      <c r="S38" s="13">
        <v>6086.4394542093396</v>
      </c>
      <c r="T38" s="13">
        <v>13290</v>
      </c>
      <c r="U38" s="13">
        <v>15216.0986355233</v>
      </c>
      <c r="V38" s="15">
        <f t="shared" si="3"/>
        <v>64203.287850778026</v>
      </c>
    </row>
    <row r="39" spans="1:22" x14ac:dyDescent="0.2">
      <c r="A39" s="13">
        <v>27</v>
      </c>
      <c r="B39" s="13" t="s">
        <v>101</v>
      </c>
      <c r="C39" s="13">
        <v>2</v>
      </c>
      <c r="D39" s="13" t="s">
        <v>103</v>
      </c>
      <c r="E39" s="13">
        <v>15</v>
      </c>
      <c r="F39" s="13">
        <v>21</v>
      </c>
      <c r="G39" s="13">
        <v>6</v>
      </c>
      <c r="H39" s="13">
        <v>443000</v>
      </c>
      <c r="I39" s="13">
        <v>27172.733999999899</v>
      </c>
      <c r="J39" s="13">
        <v>9857.8198507783309</v>
      </c>
      <c r="K39" s="13">
        <v>27172.733999999899</v>
      </c>
      <c r="L39" s="13">
        <v>507203.28785077803</v>
      </c>
      <c r="M39" s="13">
        <v>886</v>
      </c>
      <c r="N39" s="13">
        <v>3986.99999999999</v>
      </c>
      <c r="O39" s="13">
        <v>360</v>
      </c>
      <c r="P39" s="13">
        <v>300</v>
      </c>
      <c r="Q39" s="13">
        <v>5533</v>
      </c>
      <c r="R39" s="13">
        <v>4430</v>
      </c>
      <c r="S39" s="13">
        <v>6086.4394542093396</v>
      </c>
      <c r="T39" s="13">
        <v>13290</v>
      </c>
      <c r="U39" s="13">
        <v>15216.0986355233</v>
      </c>
      <c r="V39" s="15">
        <f t="shared" si="3"/>
        <v>64203.287850778026</v>
      </c>
    </row>
    <row r="40" spans="1:22" x14ac:dyDescent="0.2">
      <c r="A40" s="13">
        <v>32</v>
      </c>
      <c r="B40" s="13" t="s">
        <v>101</v>
      </c>
      <c r="C40" s="13">
        <v>2</v>
      </c>
      <c r="D40" s="13" t="s">
        <v>102</v>
      </c>
      <c r="E40" s="13">
        <v>16</v>
      </c>
      <c r="F40" s="13">
        <v>21</v>
      </c>
      <c r="G40" s="13">
        <v>5</v>
      </c>
      <c r="H40" s="13">
        <v>338000</v>
      </c>
      <c r="I40" s="13">
        <v>27642.991999999998</v>
      </c>
      <c r="J40" s="13">
        <v>5568.9637343662098</v>
      </c>
      <c r="K40" s="13">
        <v>27642.991999999998</v>
      </c>
      <c r="L40" s="13">
        <v>398854.947734366</v>
      </c>
      <c r="M40" s="13">
        <v>563.33333333333303</v>
      </c>
      <c r="N40" s="13">
        <v>2534.99999999999</v>
      </c>
      <c r="O40" s="13">
        <v>300</v>
      </c>
      <c r="P40" s="13">
        <v>250</v>
      </c>
      <c r="Q40" s="13">
        <v>3648.3333333333298</v>
      </c>
      <c r="R40" s="13">
        <v>3380</v>
      </c>
      <c r="S40" s="13">
        <v>4786.2593728123902</v>
      </c>
      <c r="T40" s="13">
        <v>10140</v>
      </c>
      <c r="U40" s="13">
        <v>11965.648432030899</v>
      </c>
      <c r="V40" s="15">
        <f t="shared" si="3"/>
        <v>60854.947734365996</v>
      </c>
    </row>
    <row r="41" spans="1:22" x14ac:dyDescent="0.2">
      <c r="A41" s="13">
        <v>35</v>
      </c>
      <c r="B41" s="13" t="s">
        <v>101</v>
      </c>
      <c r="C41" s="13">
        <v>2</v>
      </c>
      <c r="D41" s="13" t="s">
        <v>102</v>
      </c>
      <c r="E41" s="13">
        <v>16</v>
      </c>
      <c r="F41" s="13">
        <v>21</v>
      </c>
      <c r="G41" s="13">
        <v>5</v>
      </c>
      <c r="H41" s="13">
        <v>338000</v>
      </c>
      <c r="I41" s="13">
        <v>27642.991999999998</v>
      </c>
      <c r="J41" s="13">
        <v>5568.9637343662098</v>
      </c>
      <c r="K41" s="13">
        <v>27642.991999999998</v>
      </c>
      <c r="L41" s="13">
        <v>398854.947734366</v>
      </c>
      <c r="M41" s="13">
        <v>563.33333333333303</v>
      </c>
      <c r="N41" s="13">
        <v>2534.99999999999</v>
      </c>
      <c r="O41" s="13">
        <v>300</v>
      </c>
      <c r="P41" s="13">
        <v>250</v>
      </c>
      <c r="Q41" s="13">
        <v>3648.3333333333298</v>
      </c>
      <c r="R41" s="13">
        <v>3380</v>
      </c>
      <c r="S41" s="13">
        <v>4786.2593728123902</v>
      </c>
      <c r="T41" s="13">
        <v>10140</v>
      </c>
      <c r="U41" s="13">
        <v>11965.648432030899</v>
      </c>
      <c r="V41" s="15">
        <f t="shared" si="3"/>
        <v>60854.947734365996</v>
      </c>
    </row>
    <row r="42" spans="1:22" x14ac:dyDescent="0.2">
      <c r="A42" s="13">
        <v>36</v>
      </c>
      <c r="B42" s="13" t="s">
        <v>101</v>
      </c>
      <c r="C42" s="13">
        <v>2</v>
      </c>
      <c r="D42" s="13" t="s">
        <v>102</v>
      </c>
      <c r="E42" s="13">
        <v>16</v>
      </c>
      <c r="F42" s="13">
        <v>21</v>
      </c>
      <c r="G42" s="13">
        <v>5</v>
      </c>
      <c r="H42" s="13">
        <v>338000</v>
      </c>
      <c r="I42" s="13">
        <v>27642.991999999998</v>
      </c>
      <c r="J42" s="13">
        <v>5568.9637343662098</v>
      </c>
      <c r="K42" s="13">
        <v>27642.991999999998</v>
      </c>
      <c r="L42" s="13">
        <v>398854.947734366</v>
      </c>
      <c r="M42" s="13">
        <v>563.33333333333303</v>
      </c>
      <c r="N42" s="13">
        <v>2534.99999999999</v>
      </c>
      <c r="O42" s="13">
        <v>300</v>
      </c>
      <c r="P42" s="13">
        <v>250</v>
      </c>
      <c r="Q42" s="13">
        <v>3648.3333333333298</v>
      </c>
      <c r="R42" s="13">
        <v>3380</v>
      </c>
      <c r="S42" s="13">
        <v>4786.2593728123902</v>
      </c>
      <c r="T42" s="13">
        <v>10140</v>
      </c>
      <c r="U42" s="13">
        <v>11965.648432030899</v>
      </c>
      <c r="V42" s="15">
        <f t="shared" si="3"/>
        <v>60854.947734365996</v>
      </c>
    </row>
    <row r="43" spans="1:22" x14ac:dyDescent="0.2">
      <c r="A43" s="13">
        <v>40</v>
      </c>
      <c r="B43" s="13" t="s">
        <v>101</v>
      </c>
      <c r="C43" s="13">
        <v>2</v>
      </c>
      <c r="D43" s="13" t="s">
        <v>103</v>
      </c>
      <c r="E43" s="13">
        <v>16</v>
      </c>
      <c r="F43" s="13">
        <v>21</v>
      </c>
      <c r="G43" s="13">
        <v>5</v>
      </c>
      <c r="H43" s="13">
        <v>443000</v>
      </c>
      <c r="I43" s="13">
        <v>27172.733999999899</v>
      </c>
      <c r="J43" s="13">
        <v>8199.7467798370599</v>
      </c>
      <c r="K43" s="13">
        <v>27172.733999999899</v>
      </c>
      <c r="L43" s="13">
        <v>505545.214779837</v>
      </c>
      <c r="M43" s="13">
        <v>738.33333333333303</v>
      </c>
      <c r="N43" s="13">
        <v>3322.49999999999</v>
      </c>
      <c r="O43" s="13">
        <v>300</v>
      </c>
      <c r="P43" s="13">
        <v>250</v>
      </c>
      <c r="Q43" s="13">
        <v>4610.8333333333303</v>
      </c>
      <c r="R43" s="13">
        <v>4430</v>
      </c>
      <c r="S43" s="13">
        <v>6066.54257735804</v>
      </c>
      <c r="T43" s="13">
        <v>13290</v>
      </c>
      <c r="U43" s="13">
        <v>15166.3564433951</v>
      </c>
      <c r="V43" s="15">
        <f t="shared" si="3"/>
        <v>62545.214779836999</v>
      </c>
    </row>
    <row r="44" spans="1:22" x14ac:dyDescent="0.2">
      <c r="A44" s="13">
        <v>44</v>
      </c>
      <c r="B44" s="13" t="s">
        <v>101</v>
      </c>
      <c r="C44" s="13">
        <v>2</v>
      </c>
      <c r="D44" s="13" t="s">
        <v>103</v>
      </c>
      <c r="E44" s="13">
        <v>16</v>
      </c>
      <c r="F44" s="13">
        <v>21</v>
      </c>
      <c r="G44" s="13">
        <v>5</v>
      </c>
      <c r="H44" s="13">
        <v>443000</v>
      </c>
      <c r="I44" s="13">
        <v>27172.733999999899</v>
      </c>
      <c r="J44" s="13">
        <v>8199.7467798370599</v>
      </c>
      <c r="K44" s="13">
        <v>27172.733999999899</v>
      </c>
      <c r="L44" s="13">
        <v>505545.214779837</v>
      </c>
      <c r="M44" s="13">
        <v>738.33333333333303</v>
      </c>
      <c r="N44" s="13">
        <v>3322.49999999999</v>
      </c>
      <c r="O44" s="13">
        <v>300</v>
      </c>
      <c r="P44" s="13">
        <v>250</v>
      </c>
      <c r="Q44" s="13">
        <v>4610.8333333333303</v>
      </c>
      <c r="R44" s="13">
        <v>4430</v>
      </c>
      <c r="S44" s="13">
        <v>6066.54257735804</v>
      </c>
      <c r="T44" s="13">
        <v>13290</v>
      </c>
      <c r="U44" s="13">
        <v>15166.3564433951</v>
      </c>
      <c r="V44" s="15">
        <f t="shared" si="3"/>
        <v>62545.214779836999</v>
      </c>
    </row>
    <row r="45" spans="1:22" x14ac:dyDescent="0.2">
      <c r="A45" s="13">
        <v>47</v>
      </c>
      <c r="B45" s="13" t="s">
        <v>101</v>
      </c>
      <c r="C45" s="13">
        <v>2</v>
      </c>
      <c r="D45" s="13" t="s">
        <v>104</v>
      </c>
      <c r="E45" s="13">
        <v>16</v>
      </c>
      <c r="F45" s="13">
        <v>21</v>
      </c>
      <c r="G45" s="13">
        <v>5</v>
      </c>
      <c r="H45" s="13">
        <v>676000</v>
      </c>
      <c r="I45" s="13">
        <v>34553.74</v>
      </c>
      <c r="J45" s="13">
        <v>13883.202216778</v>
      </c>
      <c r="K45" s="13">
        <v>34553.74</v>
      </c>
      <c r="L45" s="13">
        <v>758990.682216777</v>
      </c>
      <c r="M45" s="13">
        <v>1126.6666666666599</v>
      </c>
      <c r="N45" s="13">
        <v>5069.99999999999</v>
      </c>
      <c r="O45" s="13">
        <v>300</v>
      </c>
      <c r="P45" s="13">
        <v>250</v>
      </c>
      <c r="Q45" s="13">
        <v>6746.6666666666597</v>
      </c>
      <c r="R45" s="13">
        <v>6760</v>
      </c>
      <c r="S45" s="13">
        <v>9107.8881866013307</v>
      </c>
      <c r="T45" s="13">
        <v>20280</v>
      </c>
      <c r="U45" s="13">
        <v>22769.720466503299</v>
      </c>
      <c r="V45" s="15">
        <f t="shared" si="3"/>
        <v>82990.682216777001</v>
      </c>
    </row>
    <row r="46" spans="1:22" x14ac:dyDescent="0.2">
      <c r="A46" s="13">
        <v>48</v>
      </c>
      <c r="B46" s="13" t="s">
        <v>101</v>
      </c>
      <c r="C46" s="13">
        <v>2</v>
      </c>
      <c r="D46" s="13" t="s">
        <v>102</v>
      </c>
      <c r="E46" s="13">
        <v>17</v>
      </c>
      <c r="F46" s="13">
        <v>21</v>
      </c>
      <c r="G46" s="13">
        <v>4</v>
      </c>
      <c r="H46" s="13">
        <v>338000</v>
      </c>
      <c r="I46" s="13">
        <v>27642.991999999998</v>
      </c>
      <c r="J46" s="13">
        <v>4447.8784912198998</v>
      </c>
      <c r="K46" s="13">
        <v>27642.991999999998</v>
      </c>
      <c r="L46" s="13">
        <v>397733.86249121901</v>
      </c>
      <c r="M46" s="13">
        <v>450.666666666666</v>
      </c>
      <c r="N46" s="13">
        <v>2027.99999999999</v>
      </c>
      <c r="O46" s="13">
        <v>240</v>
      </c>
      <c r="P46" s="13">
        <v>200</v>
      </c>
      <c r="Q46" s="13">
        <v>2918.6666666666601</v>
      </c>
      <c r="R46" s="13">
        <v>3380</v>
      </c>
      <c r="S46" s="13">
        <v>4772.8063498946303</v>
      </c>
      <c r="T46" s="13">
        <v>10140</v>
      </c>
      <c r="U46" s="13">
        <v>11932.0158747365</v>
      </c>
      <c r="V46" s="15">
        <f t="shared" si="3"/>
        <v>59733.862491219013</v>
      </c>
    </row>
    <row r="47" spans="1:22" x14ac:dyDescent="0.2">
      <c r="A47" s="13">
        <v>49</v>
      </c>
      <c r="B47" s="13" t="s">
        <v>101</v>
      </c>
      <c r="C47" s="13">
        <v>2</v>
      </c>
      <c r="D47" s="13" t="s">
        <v>102</v>
      </c>
      <c r="E47" s="13">
        <v>17</v>
      </c>
      <c r="F47" s="13">
        <v>21</v>
      </c>
      <c r="G47" s="13">
        <v>4</v>
      </c>
      <c r="H47" s="13">
        <v>338000</v>
      </c>
      <c r="I47" s="13">
        <v>27642.991999999998</v>
      </c>
      <c r="J47" s="13">
        <v>4447.8784912198998</v>
      </c>
      <c r="K47" s="13">
        <v>27642.991999999998</v>
      </c>
      <c r="L47" s="13">
        <v>397733.86249121901</v>
      </c>
      <c r="M47" s="13">
        <v>450.666666666666</v>
      </c>
      <c r="N47" s="13">
        <v>2027.99999999999</v>
      </c>
      <c r="O47" s="13">
        <v>240</v>
      </c>
      <c r="P47" s="13">
        <v>200</v>
      </c>
      <c r="Q47" s="13">
        <v>2918.6666666666601</v>
      </c>
      <c r="R47" s="13">
        <v>3380</v>
      </c>
      <c r="S47" s="13">
        <v>4772.8063498946303</v>
      </c>
      <c r="T47" s="13">
        <v>10140</v>
      </c>
      <c r="U47" s="13">
        <v>11932.0158747365</v>
      </c>
      <c r="V47" s="15">
        <f t="shared" si="3"/>
        <v>59733.862491219013</v>
      </c>
    </row>
    <row r="48" spans="1:22" x14ac:dyDescent="0.2">
      <c r="A48" s="13">
        <v>51</v>
      </c>
      <c r="B48" s="13" t="s">
        <v>101</v>
      </c>
      <c r="C48" s="13">
        <v>2</v>
      </c>
      <c r="D48" s="13" t="s">
        <v>102</v>
      </c>
      <c r="E48" s="13">
        <v>17</v>
      </c>
      <c r="F48" s="13">
        <v>21</v>
      </c>
      <c r="G48" s="13">
        <v>4</v>
      </c>
      <c r="H48" s="13">
        <v>338000</v>
      </c>
      <c r="I48" s="13">
        <v>27642.991999999998</v>
      </c>
      <c r="J48" s="13">
        <v>4447.8784912198998</v>
      </c>
      <c r="K48" s="13">
        <v>27642.991999999998</v>
      </c>
      <c r="L48" s="13">
        <v>397733.86249121901</v>
      </c>
      <c r="M48" s="13">
        <v>450.666666666666</v>
      </c>
      <c r="N48" s="13">
        <v>2027.99999999999</v>
      </c>
      <c r="O48" s="13">
        <v>240</v>
      </c>
      <c r="P48" s="13">
        <v>200</v>
      </c>
      <c r="Q48" s="13">
        <v>2918.6666666666601</v>
      </c>
      <c r="R48" s="13">
        <v>3380</v>
      </c>
      <c r="S48" s="13">
        <v>4772.8063498946303</v>
      </c>
      <c r="T48" s="13">
        <v>10140</v>
      </c>
      <c r="U48" s="13">
        <v>11932.0158747365</v>
      </c>
      <c r="V48" s="15">
        <f t="shared" si="3"/>
        <v>59733.862491219013</v>
      </c>
    </row>
    <row r="49" spans="1:22" x14ac:dyDescent="0.2">
      <c r="A49" s="13">
        <v>52</v>
      </c>
      <c r="B49" s="13" t="s">
        <v>101</v>
      </c>
      <c r="C49" s="13">
        <v>2</v>
      </c>
      <c r="D49" s="13" t="s">
        <v>102</v>
      </c>
      <c r="E49" s="13">
        <v>17</v>
      </c>
      <c r="F49" s="13">
        <v>21</v>
      </c>
      <c r="G49" s="13">
        <v>4</v>
      </c>
      <c r="H49" s="13">
        <v>338000</v>
      </c>
      <c r="I49" s="13">
        <v>27642.991999999998</v>
      </c>
      <c r="J49" s="13">
        <v>4447.8784912198998</v>
      </c>
      <c r="K49" s="13">
        <v>27642.991999999998</v>
      </c>
      <c r="L49" s="13">
        <v>397733.86249121901</v>
      </c>
      <c r="M49" s="13">
        <v>450.666666666666</v>
      </c>
      <c r="N49" s="13">
        <v>2027.99999999999</v>
      </c>
      <c r="O49" s="13">
        <v>240</v>
      </c>
      <c r="P49" s="13">
        <v>200</v>
      </c>
      <c r="Q49" s="13">
        <v>2918.6666666666601</v>
      </c>
      <c r="R49" s="13">
        <v>3380</v>
      </c>
      <c r="S49" s="13">
        <v>4772.8063498946303</v>
      </c>
      <c r="T49" s="13">
        <v>10140</v>
      </c>
      <c r="U49" s="13">
        <v>11932.0158747365</v>
      </c>
      <c r="V49" s="15">
        <f t="shared" si="3"/>
        <v>59733.862491219013</v>
      </c>
    </row>
    <row r="50" spans="1:22" x14ac:dyDescent="0.2">
      <c r="A50" s="13">
        <v>57</v>
      </c>
      <c r="B50" s="13" t="s">
        <v>101</v>
      </c>
      <c r="C50" s="13">
        <v>2</v>
      </c>
      <c r="D50" s="13" t="s">
        <v>103</v>
      </c>
      <c r="E50" s="13">
        <v>17</v>
      </c>
      <c r="F50" s="13">
        <v>21</v>
      </c>
      <c r="G50" s="13">
        <v>4</v>
      </c>
      <c r="H50" s="13">
        <v>443000</v>
      </c>
      <c r="I50" s="13">
        <v>27172.733999999899</v>
      </c>
      <c r="J50" s="13">
        <v>6547.7445023945402</v>
      </c>
      <c r="K50" s="13">
        <v>27172.733999999899</v>
      </c>
      <c r="L50" s="13">
        <v>503893.21250239399</v>
      </c>
      <c r="M50" s="13">
        <v>590.66666666666595</v>
      </c>
      <c r="N50" s="13">
        <v>2657.99999999999</v>
      </c>
      <c r="O50" s="13">
        <v>240</v>
      </c>
      <c r="P50" s="13">
        <v>200</v>
      </c>
      <c r="Q50" s="13">
        <v>3688.6666666666601</v>
      </c>
      <c r="R50" s="13">
        <v>4430</v>
      </c>
      <c r="S50" s="13">
        <v>6046.7185500287296</v>
      </c>
      <c r="T50" s="13">
        <v>13290</v>
      </c>
      <c r="U50" s="13">
        <v>15116.796375071801</v>
      </c>
      <c r="V50" s="15">
        <f t="shared" si="3"/>
        <v>60893.212502393988</v>
      </c>
    </row>
    <row r="51" spans="1:22" x14ac:dyDescent="0.2">
      <c r="A51" s="13">
        <v>63</v>
      </c>
      <c r="B51" s="13" t="s">
        <v>101</v>
      </c>
      <c r="C51" s="13">
        <v>2</v>
      </c>
      <c r="D51" s="13" t="s">
        <v>103</v>
      </c>
      <c r="E51" s="13">
        <v>17</v>
      </c>
      <c r="F51" s="13">
        <v>21</v>
      </c>
      <c r="G51" s="13">
        <v>4</v>
      </c>
      <c r="H51" s="13">
        <v>443000</v>
      </c>
      <c r="I51" s="13">
        <v>27172.733999999899</v>
      </c>
      <c r="J51" s="13">
        <v>6547.7445023945402</v>
      </c>
      <c r="K51" s="13">
        <v>27172.733999999899</v>
      </c>
      <c r="L51" s="13">
        <v>503893.21250239399</v>
      </c>
      <c r="M51" s="13">
        <v>590.66666666666595</v>
      </c>
      <c r="N51" s="13">
        <v>2657.99999999999</v>
      </c>
      <c r="O51" s="13">
        <v>240</v>
      </c>
      <c r="P51" s="13">
        <v>200</v>
      </c>
      <c r="Q51" s="13">
        <v>3688.6666666666601</v>
      </c>
      <c r="R51" s="13">
        <v>4430</v>
      </c>
      <c r="S51" s="13">
        <v>6046.7185500287296</v>
      </c>
      <c r="T51" s="13">
        <v>13290</v>
      </c>
      <c r="U51" s="13">
        <v>15116.796375071801</v>
      </c>
      <c r="V51" s="15">
        <f t="shared" si="3"/>
        <v>60893.212502393988</v>
      </c>
    </row>
    <row r="52" spans="1:22" x14ac:dyDescent="0.2">
      <c r="A52" s="13">
        <v>64</v>
      </c>
      <c r="B52" s="13" t="s">
        <v>101</v>
      </c>
      <c r="C52" s="13">
        <v>2</v>
      </c>
      <c r="D52" s="13" t="s">
        <v>103</v>
      </c>
      <c r="E52" s="13">
        <v>17</v>
      </c>
      <c r="F52" s="13">
        <v>21</v>
      </c>
      <c r="G52" s="13">
        <v>4</v>
      </c>
      <c r="H52" s="13">
        <v>443000</v>
      </c>
      <c r="I52" s="13">
        <v>27172.733999999899</v>
      </c>
      <c r="J52" s="13">
        <v>6547.7445023945402</v>
      </c>
      <c r="K52" s="13">
        <v>27172.733999999899</v>
      </c>
      <c r="L52" s="13">
        <v>503893.21250239399</v>
      </c>
      <c r="M52" s="13">
        <v>590.66666666666595</v>
      </c>
      <c r="N52" s="13">
        <v>2657.99999999999</v>
      </c>
      <c r="O52" s="13">
        <v>240</v>
      </c>
      <c r="P52" s="13">
        <v>200</v>
      </c>
      <c r="Q52" s="13">
        <v>3688.6666666666601</v>
      </c>
      <c r="R52" s="13">
        <v>4430</v>
      </c>
      <c r="S52" s="13">
        <v>6046.7185500287296</v>
      </c>
      <c r="T52" s="13">
        <v>13290</v>
      </c>
      <c r="U52" s="13">
        <v>15116.796375071801</v>
      </c>
      <c r="V52" s="15">
        <f t="shared" si="3"/>
        <v>60893.212502393988</v>
      </c>
    </row>
    <row r="53" spans="1:22" x14ac:dyDescent="0.2">
      <c r="A53" s="13">
        <v>74</v>
      </c>
      <c r="B53" s="13" t="s">
        <v>101</v>
      </c>
      <c r="C53" s="13">
        <v>2</v>
      </c>
      <c r="D53" s="13" t="s">
        <v>102</v>
      </c>
      <c r="E53" s="13">
        <v>18</v>
      </c>
      <c r="F53" s="13">
        <v>21</v>
      </c>
      <c r="G53" s="13">
        <v>3</v>
      </c>
      <c r="H53" s="13">
        <v>338000</v>
      </c>
      <c r="I53" s="13">
        <v>27642.991999999998</v>
      </c>
      <c r="J53" s="13">
        <v>3330.4514135514601</v>
      </c>
      <c r="K53" s="13">
        <v>27642.991999999998</v>
      </c>
      <c r="L53" s="13">
        <v>396616.43541355099</v>
      </c>
      <c r="M53" s="13">
        <v>338</v>
      </c>
      <c r="N53" s="13">
        <v>1520.99999999999</v>
      </c>
      <c r="O53" s="13">
        <v>180</v>
      </c>
      <c r="P53" s="13">
        <v>150</v>
      </c>
      <c r="Q53" s="13">
        <v>2189</v>
      </c>
      <c r="R53" s="13">
        <v>3380</v>
      </c>
      <c r="S53" s="13">
        <v>4759.3972249626104</v>
      </c>
      <c r="T53" s="13">
        <v>10140</v>
      </c>
      <c r="U53" s="13">
        <v>11898.4930624065</v>
      </c>
      <c r="V53" s="15">
        <f t="shared" si="3"/>
        <v>58616.435413550993</v>
      </c>
    </row>
    <row r="54" spans="1:22" x14ac:dyDescent="0.2">
      <c r="A54" s="13">
        <v>76</v>
      </c>
      <c r="B54" s="13" t="s">
        <v>101</v>
      </c>
      <c r="C54" s="13">
        <v>2</v>
      </c>
      <c r="D54" s="13" t="s">
        <v>102</v>
      </c>
      <c r="E54" s="13">
        <v>18</v>
      </c>
      <c r="F54" s="13">
        <v>21</v>
      </c>
      <c r="G54" s="13">
        <v>3</v>
      </c>
      <c r="H54" s="13">
        <v>338000</v>
      </c>
      <c r="I54" s="13">
        <v>27642.991999999998</v>
      </c>
      <c r="J54" s="13">
        <v>3330.4514135514601</v>
      </c>
      <c r="K54" s="13">
        <v>27642.991999999998</v>
      </c>
      <c r="L54" s="13">
        <v>396616.43541355099</v>
      </c>
      <c r="M54" s="13">
        <v>338</v>
      </c>
      <c r="N54" s="13">
        <v>1520.99999999999</v>
      </c>
      <c r="O54" s="13">
        <v>180</v>
      </c>
      <c r="P54" s="13">
        <v>150</v>
      </c>
      <c r="Q54" s="13">
        <v>2189</v>
      </c>
      <c r="R54" s="13">
        <v>3380</v>
      </c>
      <c r="S54" s="13">
        <v>4759.3972249626104</v>
      </c>
      <c r="T54" s="13">
        <v>10140</v>
      </c>
      <c r="U54" s="13">
        <v>11898.4930624065</v>
      </c>
      <c r="V54" s="15">
        <f t="shared" si="3"/>
        <v>58616.435413550993</v>
      </c>
    </row>
    <row r="55" spans="1:22" x14ac:dyDescent="0.2">
      <c r="A55" s="13">
        <v>1</v>
      </c>
      <c r="B55" s="13" t="s">
        <v>136</v>
      </c>
      <c r="C55" s="13">
        <v>2</v>
      </c>
      <c r="D55" s="13" t="s">
        <v>102</v>
      </c>
      <c r="E55" s="13">
        <v>16</v>
      </c>
      <c r="F55" s="13">
        <v>21</v>
      </c>
      <c r="G55" s="13">
        <v>5</v>
      </c>
      <c r="H55" s="13">
        <v>305000</v>
      </c>
      <c r="I55" s="13">
        <v>30500</v>
      </c>
      <c r="J55" s="13">
        <v>3779.6587965205999</v>
      </c>
      <c r="K55" s="13">
        <v>27450</v>
      </c>
      <c r="L55" s="13">
        <v>366729.65879651997</v>
      </c>
      <c r="M55" s="13">
        <v>635.41666666666595</v>
      </c>
      <c r="N55" s="13">
        <v>1397.9166666666599</v>
      </c>
      <c r="O55" s="13">
        <v>250</v>
      </c>
      <c r="P55" s="13">
        <v>200</v>
      </c>
      <c r="Q55" s="13">
        <v>2483.3333333333298</v>
      </c>
      <c r="R55" s="13">
        <v>3050</v>
      </c>
      <c r="S55" s="13">
        <v>3667.2965879652002</v>
      </c>
      <c r="T55" s="13">
        <v>9150</v>
      </c>
      <c r="U55" s="13">
        <v>11001.8897638956</v>
      </c>
      <c r="V55" s="15">
        <f t="shared" si="3"/>
        <v>61729.658796519972</v>
      </c>
    </row>
    <row r="56" spans="1:22" x14ac:dyDescent="0.2">
      <c r="A56" s="13">
        <v>2</v>
      </c>
      <c r="B56" s="13" t="s">
        <v>136</v>
      </c>
      <c r="C56" s="13">
        <v>2</v>
      </c>
      <c r="D56" s="13" t="s">
        <v>102</v>
      </c>
      <c r="E56" s="13">
        <v>16</v>
      </c>
      <c r="F56" s="13">
        <v>21</v>
      </c>
      <c r="G56" s="13">
        <v>5</v>
      </c>
      <c r="H56" s="13">
        <v>305000</v>
      </c>
      <c r="I56" s="13">
        <v>30500</v>
      </c>
      <c r="J56" s="13">
        <v>3779.6587965205999</v>
      </c>
      <c r="K56" s="13">
        <v>27450</v>
      </c>
      <c r="L56" s="13">
        <v>366729.65879651997</v>
      </c>
      <c r="M56" s="13">
        <v>635.41666666666595</v>
      </c>
      <c r="N56" s="13">
        <v>1397.9166666666599</v>
      </c>
      <c r="O56" s="13">
        <v>250</v>
      </c>
      <c r="P56" s="13">
        <v>200</v>
      </c>
      <c r="Q56" s="13">
        <v>2483.3333333333298</v>
      </c>
      <c r="R56" s="13">
        <v>3050</v>
      </c>
      <c r="S56" s="13">
        <v>3667.2965879652002</v>
      </c>
      <c r="T56" s="13">
        <v>9150</v>
      </c>
      <c r="U56" s="13">
        <v>11001.8897638956</v>
      </c>
      <c r="V56" s="15">
        <f t="shared" si="3"/>
        <v>61729.658796519972</v>
      </c>
    </row>
    <row r="57" spans="1:22" x14ac:dyDescent="0.2">
      <c r="A57" s="13">
        <v>5</v>
      </c>
      <c r="B57" s="13" t="s">
        <v>136</v>
      </c>
      <c r="C57" s="13">
        <v>2</v>
      </c>
      <c r="D57" s="13" t="s">
        <v>102</v>
      </c>
      <c r="E57" s="13">
        <v>16</v>
      </c>
      <c r="F57" s="13">
        <v>21</v>
      </c>
      <c r="G57" s="13">
        <v>5</v>
      </c>
      <c r="H57" s="13">
        <v>305000</v>
      </c>
      <c r="I57" s="13">
        <v>30500</v>
      </c>
      <c r="J57" s="13">
        <v>3779.6587965205999</v>
      </c>
      <c r="K57" s="13">
        <v>27450</v>
      </c>
      <c r="L57" s="13">
        <v>366729.65879651997</v>
      </c>
      <c r="M57" s="13">
        <v>635.41666666666595</v>
      </c>
      <c r="N57" s="13">
        <v>1397.9166666666599</v>
      </c>
      <c r="O57" s="13">
        <v>250</v>
      </c>
      <c r="P57" s="13">
        <v>200</v>
      </c>
      <c r="Q57" s="13">
        <v>2483.3333333333298</v>
      </c>
      <c r="R57" s="13">
        <v>3050</v>
      </c>
      <c r="S57" s="13">
        <v>3667.2965879652002</v>
      </c>
      <c r="T57" s="13">
        <v>9150</v>
      </c>
      <c r="U57" s="13">
        <v>11001.8897638956</v>
      </c>
      <c r="V57" s="15">
        <f t="shared" si="3"/>
        <v>61729.658796519972</v>
      </c>
    </row>
    <row r="58" spans="1:22" x14ac:dyDescent="0.2">
      <c r="A58" s="13">
        <v>6</v>
      </c>
      <c r="B58" s="13" t="s">
        <v>136</v>
      </c>
      <c r="C58" s="13">
        <v>2</v>
      </c>
      <c r="D58" s="13" t="s">
        <v>102</v>
      </c>
      <c r="E58" s="13">
        <v>16</v>
      </c>
      <c r="F58" s="13">
        <v>21</v>
      </c>
      <c r="G58" s="13">
        <v>5</v>
      </c>
      <c r="H58" s="13">
        <v>305000</v>
      </c>
      <c r="I58" s="13">
        <v>30500</v>
      </c>
      <c r="J58" s="13">
        <v>3779.6587965205999</v>
      </c>
      <c r="K58" s="13">
        <v>27450</v>
      </c>
      <c r="L58" s="13">
        <v>366729.65879651997</v>
      </c>
      <c r="M58" s="13">
        <v>635.41666666666595</v>
      </c>
      <c r="N58" s="13">
        <v>1397.9166666666599</v>
      </c>
      <c r="O58" s="13">
        <v>250</v>
      </c>
      <c r="P58" s="13">
        <v>200</v>
      </c>
      <c r="Q58" s="13">
        <v>2483.3333333333298</v>
      </c>
      <c r="R58" s="13">
        <v>3050</v>
      </c>
      <c r="S58" s="13">
        <v>3667.2965879652002</v>
      </c>
      <c r="T58" s="13">
        <v>9150</v>
      </c>
      <c r="U58" s="13">
        <v>11001.8897638956</v>
      </c>
      <c r="V58" s="15">
        <f t="shared" si="3"/>
        <v>61729.658796519972</v>
      </c>
    </row>
    <row r="59" spans="1:22" x14ac:dyDescent="0.2">
      <c r="A59" s="13">
        <v>11</v>
      </c>
      <c r="B59" s="13" t="s">
        <v>136</v>
      </c>
      <c r="C59" s="13">
        <v>2</v>
      </c>
      <c r="D59" s="13" t="s">
        <v>103</v>
      </c>
      <c r="E59" s="13">
        <v>16</v>
      </c>
      <c r="F59" s="13">
        <v>21</v>
      </c>
      <c r="G59" s="13">
        <v>5</v>
      </c>
      <c r="H59" s="13">
        <v>405000</v>
      </c>
      <c r="I59" s="13">
        <v>32400</v>
      </c>
      <c r="J59" s="13">
        <v>5847.0462161416699</v>
      </c>
      <c r="K59" s="13">
        <v>28350</v>
      </c>
      <c r="L59" s="13">
        <v>471597.04621614103</v>
      </c>
      <c r="M59" s="13">
        <v>843.75</v>
      </c>
      <c r="N59" s="13">
        <v>1856.25</v>
      </c>
      <c r="O59" s="13">
        <v>250</v>
      </c>
      <c r="P59" s="13">
        <v>200</v>
      </c>
      <c r="Q59" s="13">
        <v>3150</v>
      </c>
      <c r="R59" s="13">
        <v>4050</v>
      </c>
      <c r="S59" s="13">
        <v>4715.9704621614101</v>
      </c>
      <c r="T59" s="13">
        <v>12150</v>
      </c>
      <c r="U59" s="13">
        <v>14147.9113864842</v>
      </c>
      <c r="V59" s="15">
        <f t="shared" si="3"/>
        <v>66597.046216141025</v>
      </c>
    </row>
    <row r="60" spans="1:22" x14ac:dyDescent="0.2">
      <c r="A60" s="13">
        <v>16</v>
      </c>
      <c r="B60" s="13" t="s">
        <v>136</v>
      </c>
      <c r="C60" s="13">
        <v>2</v>
      </c>
      <c r="D60" s="13" t="s">
        <v>102</v>
      </c>
      <c r="E60" s="13">
        <v>17</v>
      </c>
      <c r="F60" s="13">
        <v>21</v>
      </c>
      <c r="G60" s="13">
        <v>4</v>
      </c>
      <c r="H60" s="13">
        <v>305000</v>
      </c>
      <c r="I60" s="13">
        <v>30500</v>
      </c>
      <c r="J60" s="13">
        <v>3019.9983852380701</v>
      </c>
      <c r="K60" s="13">
        <v>27450</v>
      </c>
      <c r="L60" s="13">
        <v>365969.998385238</v>
      </c>
      <c r="M60" s="13">
        <v>508.33333333333297</v>
      </c>
      <c r="N60" s="13">
        <v>1118.3333333333301</v>
      </c>
      <c r="O60" s="13">
        <v>200</v>
      </c>
      <c r="P60" s="13">
        <v>160</v>
      </c>
      <c r="Q60" s="13">
        <v>1986.6666666666599</v>
      </c>
      <c r="R60" s="13">
        <v>3050</v>
      </c>
      <c r="S60" s="13">
        <v>3659.6999838523798</v>
      </c>
      <c r="T60" s="13">
        <v>9150</v>
      </c>
      <c r="U60" s="13">
        <v>10979.0999515571</v>
      </c>
      <c r="V60" s="15">
        <f t="shared" si="3"/>
        <v>60969.998385237996</v>
      </c>
    </row>
    <row r="61" spans="1:22" x14ac:dyDescent="0.2">
      <c r="A61" s="13">
        <v>17</v>
      </c>
      <c r="B61" s="13" t="s">
        <v>136</v>
      </c>
      <c r="C61" s="13">
        <v>2</v>
      </c>
      <c r="D61" s="13" t="s">
        <v>102</v>
      </c>
      <c r="E61" s="13">
        <v>17</v>
      </c>
      <c r="F61" s="13">
        <v>21</v>
      </c>
      <c r="G61" s="13">
        <v>4</v>
      </c>
      <c r="H61" s="13">
        <v>305000</v>
      </c>
      <c r="I61" s="13">
        <v>30500</v>
      </c>
      <c r="J61" s="13">
        <v>3019.9983852380701</v>
      </c>
      <c r="K61" s="13">
        <v>27450</v>
      </c>
      <c r="L61" s="13">
        <v>365969.998385238</v>
      </c>
      <c r="M61" s="13">
        <v>508.33333333333297</v>
      </c>
      <c r="N61" s="13">
        <v>1118.3333333333301</v>
      </c>
      <c r="O61" s="13">
        <v>200</v>
      </c>
      <c r="P61" s="13">
        <v>160</v>
      </c>
      <c r="Q61" s="13">
        <v>1986.6666666666599</v>
      </c>
      <c r="R61" s="13">
        <v>3050</v>
      </c>
      <c r="S61" s="13">
        <v>3659.6999838523798</v>
      </c>
      <c r="T61" s="13">
        <v>9150</v>
      </c>
      <c r="U61" s="13">
        <v>10979.0999515571</v>
      </c>
      <c r="V61" s="15">
        <f t="shared" si="3"/>
        <v>60969.998385237996</v>
      </c>
    </row>
    <row r="62" spans="1:22" x14ac:dyDescent="0.2">
      <c r="V62" s="14">
        <f>SUM(V37:V61)</f>
        <v>1557559.45500374</v>
      </c>
    </row>
    <row r="63" spans="1:22" x14ac:dyDescent="0.2">
      <c r="A63" s="13">
        <v>29</v>
      </c>
      <c r="B63" s="13" t="s">
        <v>101</v>
      </c>
      <c r="C63" s="13">
        <v>2</v>
      </c>
      <c r="D63" s="13" t="s">
        <v>104</v>
      </c>
      <c r="E63" s="13">
        <v>15</v>
      </c>
      <c r="F63" s="13">
        <v>22</v>
      </c>
      <c r="G63" s="13">
        <v>7</v>
      </c>
      <c r="H63" s="13">
        <v>676000</v>
      </c>
      <c r="I63" s="13">
        <v>34553.74</v>
      </c>
      <c r="J63" s="13">
        <v>19515.992356670598</v>
      </c>
      <c r="K63" s="13">
        <v>34553.74</v>
      </c>
      <c r="L63" s="13">
        <v>764623.47235666995</v>
      </c>
      <c r="M63" s="13">
        <v>1577.3333333333301</v>
      </c>
      <c r="N63" s="13">
        <v>7097.99999999999</v>
      </c>
      <c r="O63" s="13">
        <v>420</v>
      </c>
      <c r="P63" s="13">
        <v>350</v>
      </c>
      <c r="Q63" s="13">
        <v>9445.3333333333303</v>
      </c>
      <c r="R63" s="13">
        <v>6760</v>
      </c>
      <c r="S63" s="13">
        <v>9175.4816682800392</v>
      </c>
      <c r="T63" s="13">
        <v>20280</v>
      </c>
      <c r="U63" s="13">
        <v>22938.704170700101</v>
      </c>
      <c r="V63" s="15">
        <f t="shared" ref="V63:V95" si="4">L63-H63</f>
        <v>88623.472356669954</v>
      </c>
    </row>
    <row r="64" spans="1:22" x14ac:dyDescent="0.2">
      <c r="A64" s="13">
        <v>37</v>
      </c>
      <c r="B64" s="13" t="s">
        <v>101</v>
      </c>
      <c r="C64" s="13">
        <v>2</v>
      </c>
      <c r="D64" s="13" t="s">
        <v>103</v>
      </c>
      <c r="E64" s="13">
        <v>16</v>
      </c>
      <c r="F64" s="13">
        <v>22</v>
      </c>
      <c r="G64" s="13">
        <v>6</v>
      </c>
      <c r="H64" s="13">
        <v>443000</v>
      </c>
      <c r="I64" s="13">
        <v>27172.733999999899</v>
      </c>
      <c r="J64" s="13">
        <v>9857.8198507783309</v>
      </c>
      <c r="K64" s="13">
        <v>27172.733999999899</v>
      </c>
      <c r="L64" s="13">
        <v>507203.28785077803</v>
      </c>
      <c r="M64" s="13">
        <v>886</v>
      </c>
      <c r="N64" s="13">
        <v>3986.99999999999</v>
      </c>
      <c r="O64" s="13">
        <v>360</v>
      </c>
      <c r="P64" s="13">
        <v>300</v>
      </c>
      <c r="Q64" s="13">
        <v>5533</v>
      </c>
      <c r="R64" s="13">
        <v>4430</v>
      </c>
      <c r="S64" s="13">
        <v>6086.4394542093396</v>
      </c>
      <c r="T64" s="13">
        <v>13290</v>
      </c>
      <c r="U64" s="13">
        <v>15216.0986355233</v>
      </c>
      <c r="V64" s="15">
        <f t="shared" si="4"/>
        <v>64203.287850778026</v>
      </c>
    </row>
    <row r="65" spans="1:22" x14ac:dyDescent="0.2">
      <c r="A65" s="13">
        <v>39</v>
      </c>
      <c r="B65" s="13" t="s">
        <v>101</v>
      </c>
      <c r="C65" s="13">
        <v>2</v>
      </c>
      <c r="D65" s="13" t="s">
        <v>103</v>
      </c>
      <c r="E65" s="13">
        <v>16</v>
      </c>
      <c r="F65" s="13">
        <v>22</v>
      </c>
      <c r="G65" s="13">
        <v>6</v>
      </c>
      <c r="H65" s="13">
        <v>443000</v>
      </c>
      <c r="I65" s="13">
        <v>27172.733999999899</v>
      </c>
      <c r="J65" s="13">
        <v>9857.8198507783309</v>
      </c>
      <c r="K65" s="13">
        <v>27172.733999999899</v>
      </c>
      <c r="L65" s="13">
        <v>507203.28785077803</v>
      </c>
      <c r="M65" s="13">
        <v>886</v>
      </c>
      <c r="N65" s="13">
        <v>3986.99999999999</v>
      </c>
      <c r="O65" s="13">
        <v>360</v>
      </c>
      <c r="P65" s="13">
        <v>300</v>
      </c>
      <c r="Q65" s="13">
        <v>5533</v>
      </c>
      <c r="R65" s="13">
        <v>4430</v>
      </c>
      <c r="S65" s="13">
        <v>6086.4394542093396</v>
      </c>
      <c r="T65" s="13">
        <v>13290</v>
      </c>
      <c r="U65" s="13">
        <v>15216.0986355233</v>
      </c>
      <c r="V65" s="15">
        <f t="shared" si="4"/>
        <v>64203.287850778026</v>
      </c>
    </row>
    <row r="66" spans="1:22" x14ac:dyDescent="0.2">
      <c r="A66" s="13">
        <v>41</v>
      </c>
      <c r="B66" s="13" t="s">
        <v>101</v>
      </c>
      <c r="C66" s="13">
        <v>2</v>
      </c>
      <c r="D66" s="13" t="s">
        <v>103</v>
      </c>
      <c r="E66" s="13">
        <v>16</v>
      </c>
      <c r="F66" s="13">
        <v>22</v>
      </c>
      <c r="G66" s="13">
        <v>6</v>
      </c>
      <c r="H66" s="13">
        <v>443000</v>
      </c>
      <c r="I66" s="13">
        <v>27172.733999999899</v>
      </c>
      <c r="J66" s="13">
        <v>9857.8198507783309</v>
      </c>
      <c r="K66" s="13">
        <v>27172.733999999899</v>
      </c>
      <c r="L66" s="13">
        <v>507203.28785077803</v>
      </c>
      <c r="M66" s="13">
        <v>886</v>
      </c>
      <c r="N66" s="13">
        <v>3986.99999999999</v>
      </c>
      <c r="O66" s="13">
        <v>360</v>
      </c>
      <c r="P66" s="13">
        <v>300</v>
      </c>
      <c r="Q66" s="13">
        <v>5533</v>
      </c>
      <c r="R66" s="13">
        <v>4430</v>
      </c>
      <c r="S66" s="13">
        <v>6086.4394542093396</v>
      </c>
      <c r="T66" s="13">
        <v>13290</v>
      </c>
      <c r="U66" s="13">
        <v>15216.0986355233</v>
      </c>
      <c r="V66" s="15">
        <f t="shared" si="4"/>
        <v>64203.287850778026</v>
      </c>
    </row>
    <row r="67" spans="1:22" x14ac:dyDescent="0.2">
      <c r="A67" s="13">
        <v>43</v>
      </c>
      <c r="B67" s="13" t="s">
        <v>101</v>
      </c>
      <c r="C67" s="13">
        <v>2</v>
      </c>
      <c r="D67" s="13" t="s">
        <v>103</v>
      </c>
      <c r="E67" s="13">
        <v>16</v>
      </c>
      <c r="F67" s="13">
        <v>22</v>
      </c>
      <c r="G67" s="13">
        <v>6</v>
      </c>
      <c r="H67" s="13">
        <v>443000</v>
      </c>
      <c r="I67" s="13">
        <v>27172.733999999899</v>
      </c>
      <c r="J67" s="13">
        <v>9857.8198507783309</v>
      </c>
      <c r="K67" s="13">
        <v>27172.733999999899</v>
      </c>
      <c r="L67" s="13">
        <v>507203.28785077803</v>
      </c>
      <c r="M67" s="13">
        <v>886</v>
      </c>
      <c r="N67" s="13">
        <v>3986.99999999999</v>
      </c>
      <c r="O67" s="13">
        <v>360</v>
      </c>
      <c r="P67" s="13">
        <v>300</v>
      </c>
      <c r="Q67" s="13">
        <v>5533</v>
      </c>
      <c r="R67" s="13">
        <v>4430</v>
      </c>
      <c r="S67" s="13">
        <v>6086.4394542093396</v>
      </c>
      <c r="T67" s="13">
        <v>13290</v>
      </c>
      <c r="U67" s="13">
        <v>15216.0986355233</v>
      </c>
      <c r="V67" s="15">
        <f t="shared" si="4"/>
        <v>64203.287850778026</v>
      </c>
    </row>
    <row r="68" spans="1:22" x14ac:dyDescent="0.2">
      <c r="A68" s="13">
        <v>45</v>
      </c>
      <c r="B68" s="13" t="s">
        <v>101</v>
      </c>
      <c r="C68" s="13">
        <v>2</v>
      </c>
      <c r="D68" s="13" t="s">
        <v>104</v>
      </c>
      <c r="E68" s="13">
        <v>16</v>
      </c>
      <c r="F68" s="13">
        <v>22</v>
      </c>
      <c r="G68" s="13">
        <v>6</v>
      </c>
      <c r="H68" s="13">
        <v>676000</v>
      </c>
      <c r="I68" s="13">
        <v>34553.74</v>
      </c>
      <c r="J68" s="13">
        <v>16693.871778868899</v>
      </c>
      <c r="K68" s="13">
        <v>34553.74</v>
      </c>
      <c r="L68" s="13">
        <v>761801.351778868</v>
      </c>
      <c r="M68" s="13">
        <v>1352</v>
      </c>
      <c r="N68" s="13">
        <v>6083.99999999999</v>
      </c>
      <c r="O68" s="13">
        <v>360</v>
      </c>
      <c r="P68" s="13">
        <v>300</v>
      </c>
      <c r="Q68" s="13">
        <v>8095.99999999999</v>
      </c>
      <c r="R68" s="13">
        <v>6760</v>
      </c>
      <c r="S68" s="13">
        <v>9141.6162213464195</v>
      </c>
      <c r="T68" s="13">
        <v>20280</v>
      </c>
      <c r="U68" s="13">
        <v>22854.040553366001</v>
      </c>
      <c r="V68" s="15">
        <f t="shared" si="4"/>
        <v>85801.351778868004</v>
      </c>
    </row>
    <row r="69" spans="1:22" x14ac:dyDescent="0.2">
      <c r="A69" s="13">
        <v>46</v>
      </c>
      <c r="B69" s="13" t="s">
        <v>101</v>
      </c>
      <c r="C69" s="13">
        <v>2</v>
      </c>
      <c r="D69" s="13" t="s">
        <v>104</v>
      </c>
      <c r="E69" s="13">
        <v>16</v>
      </c>
      <c r="F69" s="13">
        <v>22</v>
      </c>
      <c r="G69" s="13">
        <v>6</v>
      </c>
      <c r="H69" s="13">
        <v>676000</v>
      </c>
      <c r="I69" s="13">
        <v>34553.74</v>
      </c>
      <c r="J69" s="13">
        <v>16693.871778868899</v>
      </c>
      <c r="K69" s="13">
        <v>34553.74</v>
      </c>
      <c r="L69" s="13">
        <v>761801.351778868</v>
      </c>
      <c r="M69" s="13">
        <v>1352</v>
      </c>
      <c r="N69" s="13">
        <v>6083.99999999999</v>
      </c>
      <c r="O69" s="13">
        <v>360</v>
      </c>
      <c r="P69" s="13">
        <v>300</v>
      </c>
      <c r="Q69" s="13">
        <v>8095.99999999999</v>
      </c>
      <c r="R69" s="13">
        <v>6760</v>
      </c>
      <c r="S69" s="13">
        <v>9141.6162213464195</v>
      </c>
      <c r="T69" s="13">
        <v>20280</v>
      </c>
      <c r="U69" s="13">
        <v>22854.040553366001</v>
      </c>
      <c r="V69" s="15">
        <f t="shared" si="4"/>
        <v>85801.351778868004</v>
      </c>
    </row>
    <row r="70" spans="1:22" x14ac:dyDescent="0.2">
      <c r="A70" s="13">
        <v>50</v>
      </c>
      <c r="B70" s="13" t="s">
        <v>101</v>
      </c>
      <c r="C70" s="13">
        <v>2</v>
      </c>
      <c r="D70" s="13" t="s">
        <v>102</v>
      </c>
      <c r="E70" s="13">
        <v>17</v>
      </c>
      <c r="F70" s="13">
        <v>22</v>
      </c>
      <c r="G70" s="13">
        <v>5</v>
      </c>
      <c r="H70" s="13">
        <v>338000</v>
      </c>
      <c r="I70" s="13">
        <v>27642.991999999998</v>
      </c>
      <c r="J70" s="13">
        <v>5568.9637343662098</v>
      </c>
      <c r="K70" s="13">
        <v>27642.991999999998</v>
      </c>
      <c r="L70" s="13">
        <v>398854.947734366</v>
      </c>
      <c r="M70" s="13">
        <v>563.33333333333303</v>
      </c>
      <c r="N70" s="13">
        <v>2534.99999999999</v>
      </c>
      <c r="O70" s="13">
        <v>300</v>
      </c>
      <c r="P70" s="13">
        <v>250</v>
      </c>
      <c r="Q70" s="13">
        <v>3648.3333333333298</v>
      </c>
      <c r="R70" s="13">
        <v>3380</v>
      </c>
      <c r="S70" s="13">
        <v>4786.2593728123902</v>
      </c>
      <c r="T70" s="13">
        <v>10140</v>
      </c>
      <c r="U70" s="13">
        <v>11965.648432030899</v>
      </c>
      <c r="V70" s="15">
        <f t="shared" si="4"/>
        <v>60854.947734365996</v>
      </c>
    </row>
    <row r="71" spans="1:22" x14ac:dyDescent="0.2">
      <c r="A71" s="13">
        <v>53</v>
      </c>
      <c r="B71" s="13" t="s">
        <v>101</v>
      </c>
      <c r="C71" s="13">
        <v>2</v>
      </c>
      <c r="D71" s="13" t="s">
        <v>102</v>
      </c>
      <c r="E71" s="13">
        <v>17</v>
      </c>
      <c r="F71" s="13">
        <v>22</v>
      </c>
      <c r="G71" s="13">
        <v>5</v>
      </c>
      <c r="H71" s="13">
        <v>338000</v>
      </c>
      <c r="I71" s="13">
        <v>27642.991999999998</v>
      </c>
      <c r="J71" s="13">
        <v>5568.9637343662098</v>
      </c>
      <c r="K71" s="13">
        <v>27642.991999999998</v>
      </c>
      <c r="L71" s="13">
        <v>398854.947734366</v>
      </c>
      <c r="M71" s="13">
        <v>563.33333333333303</v>
      </c>
      <c r="N71" s="13">
        <v>2534.99999999999</v>
      </c>
      <c r="O71" s="13">
        <v>300</v>
      </c>
      <c r="P71" s="13">
        <v>250</v>
      </c>
      <c r="Q71" s="13">
        <v>3648.3333333333298</v>
      </c>
      <c r="R71" s="13">
        <v>3380</v>
      </c>
      <c r="S71" s="13">
        <v>4786.2593728123902</v>
      </c>
      <c r="T71" s="13">
        <v>10140</v>
      </c>
      <c r="U71" s="13">
        <v>11965.648432030899</v>
      </c>
      <c r="V71" s="15">
        <f t="shared" si="4"/>
        <v>60854.947734365996</v>
      </c>
    </row>
    <row r="72" spans="1:22" x14ac:dyDescent="0.2">
      <c r="A72" s="13">
        <v>54</v>
      </c>
      <c r="B72" s="13" t="s">
        <v>101</v>
      </c>
      <c r="C72" s="13">
        <v>2</v>
      </c>
      <c r="D72" s="13" t="s">
        <v>102</v>
      </c>
      <c r="E72" s="13">
        <v>17</v>
      </c>
      <c r="F72" s="13">
        <v>22</v>
      </c>
      <c r="G72" s="13">
        <v>5</v>
      </c>
      <c r="H72" s="13">
        <v>338000</v>
      </c>
      <c r="I72" s="13">
        <v>27642.991999999998</v>
      </c>
      <c r="J72" s="13">
        <v>5568.9637343662098</v>
      </c>
      <c r="K72" s="13">
        <v>27642.991999999998</v>
      </c>
      <c r="L72" s="13">
        <v>398854.947734366</v>
      </c>
      <c r="M72" s="13">
        <v>563.33333333333303</v>
      </c>
      <c r="N72" s="13">
        <v>2534.99999999999</v>
      </c>
      <c r="O72" s="13">
        <v>300</v>
      </c>
      <c r="P72" s="13">
        <v>250</v>
      </c>
      <c r="Q72" s="13">
        <v>3648.3333333333298</v>
      </c>
      <c r="R72" s="13">
        <v>3380</v>
      </c>
      <c r="S72" s="13">
        <v>4786.2593728123902</v>
      </c>
      <c r="T72" s="13">
        <v>10140</v>
      </c>
      <c r="U72" s="13">
        <v>11965.648432030899</v>
      </c>
      <c r="V72" s="15">
        <f t="shared" si="4"/>
        <v>60854.947734365996</v>
      </c>
    </row>
    <row r="73" spans="1:22" x14ac:dyDescent="0.2">
      <c r="A73" s="13">
        <v>55</v>
      </c>
      <c r="B73" s="13" t="s">
        <v>101</v>
      </c>
      <c r="C73" s="13">
        <v>2</v>
      </c>
      <c r="D73" s="13" t="s">
        <v>102</v>
      </c>
      <c r="E73" s="13">
        <v>17</v>
      </c>
      <c r="F73" s="13">
        <v>22</v>
      </c>
      <c r="G73" s="13">
        <v>5</v>
      </c>
      <c r="H73" s="13">
        <v>338000</v>
      </c>
      <c r="I73" s="13">
        <v>27642.991999999998</v>
      </c>
      <c r="J73" s="13">
        <v>5568.9637343662098</v>
      </c>
      <c r="K73" s="13">
        <v>27642.991999999998</v>
      </c>
      <c r="L73" s="13">
        <v>398854.947734366</v>
      </c>
      <c r="M73" s="13">
        <v>563.33333333333303</v>
      </c>
      <c r="N73" s="13">
        <v>2534.99999999999</v>
      </c>
      <c r="O73" s="13">
        <v>300</v>
      </c>
      <c r="P73" s="13">
        <v>250</v>
      </c>
      <c r="Q73" s="13">
        <v>3648.3333333333298</v>
      </c>
      <c r="R73" s="13">
        <v>3380</v>
      </c>
      <c r="S73" s="13">
        <v>4786.2593728123902</v>
      </c>
      <c r="T73" s="13">
        <v>10140</v>
      </c>
      <c r="U73" s="13">
        <v>11965.648432030899</v>
      </c>
      <c r="V73" s="15">
        <f t="shared" si="4"/>
        <v>60854.947734365996</v>
      </c>
    </row>
    <row r="74" spans="1:22" x14ac:dyDescent="0.2">
      <c r="A74" s="13">
        <v>58</v>
      </c>
      <c r="B74" s="13" t="s">
        <v>101</v>
      </c>
      <c r="C74" s="13">
        <v>2</v>
      </c>
      <c r="D74" s="13" t="s">
        <v>103</v>
      </c>
      <c r="E74" s="13">
        <v>17</v>
      </c>
      <c r="F74" s="13">
        <v>22</v>
      </c>
      <c r="G74" s="13">
        <v>5</v>
      </c>
      <c r="H74" s="13">
        <v>443000</v>
      </c>
      <c r="I74" s="13">
        <v>27172.733999999899</v>
      </c>
      <c r="J74" s="13">
        <v>8199.7467798370599</v>
      </c>
      <c r="K74" s="13">
        <v>27172.733999999899</v>
      </c>
      <c r="L74" s="13">
        <v>505545.214779837</v>
      </c>
      <c r="M74" s="13">
        <v>738.33333333333303</v>
      </c>
      <c r="N74" s="13">
        <v>3322.49999999999</v>
      </c>
      <c r="O74" s="13">
        <v>300</v>
      </c>
      <c r="P74" s="13">
        <v>250</v>
      </c>
      <c r="Q74" s="13">
        <v>4610.8333333333303</v>
      </c>
      <c r="R74" s="13">
        <v>4430</v>
      </c>
      <c r="S74" s="13">
        <v>6066.54257735804</v>
      </c>
      <c r="T74" s="13">
        <v>13290</v>
      </c>
      <c r="U74" s="13">
        <v>15166.3564433951</v>
      </c>
      <c r="V74" s="15">
        <f t="shared" si="4"/>
        <v>62545.214779836999</v>
      </c>
    </row>
    <row r="75" spans="1:22" x14ac:dyDescent="0.2">
      <c r="A75" s="13">
        <v>62</v>
      </c>
      <c r="B75" s="13" t="s">
        <v>101</v>
      </c>
      <c r="C75" s="13">
        <v>2</v>
      </c>
      <c r="D75" s="13" t="s">
        <v>103</v>
      </c>
      <c r="E75" s="13">
        <v>17</v>
      </c>
      <c r="F75" s="13">
        <v>22</v>
      </c>
      <c r="G75" s="13">
        <v>5</v>
      </c>
      <c r="H75" s="13">
        <v>443000</v>
      </c>
      <c r="I75" s="13">
        <v>27172.733999999899</v>
      </c>
      <c r="J75" s="13">
        <v>8199.7467798370599</v>
      </c>
      <c r="K75" s="13">
        <v>27172.733999999899</v>
      </c>
      <c r="L75" s="13">
        <v>505545.214779837</v>
      </c>
      <c r="M75" s="13">
        <v>738.33333333333303</v>
      </c>
      <c r="N75" s="13">
        <v>3322.49999999999</v>
      </c>
      <c r="O75" s="13">
        <v>300</v>
      </c>
      <c r="P75" s="13">
        <v>250</v>
      </c>
      <c r="Q75" s="13">
        <v>4610.8333333333303</v>
      </c>
      <c r="R75" s="13">
        <v>4430</v>
      </c>
      <c r="S75" s="13">
        <v>6066.54257735804</v>
      </c>
      <c r="T75" s="13">
        <v>13290</v>
      </c>
      <c r="U75" s="13">
        <v>15166.3564433951</v>
      </c>
      <c r="V75" s="15">
        <f t="shared" si="4"/>
        <v>62545.214779836999</v>
      </c>
    </row>
    <row r="76" spans="1:22" x14ac:dyDescent="0.2">
      <c r="A76" s="13">
        <v>66</v>
      </c>
      <c r="B76" s="13" t="s">
        <v>101</v>
      </c>
      <c r="C76" s="13">
        <v>2</v>
      </c>
      <c r="D76" s="13" t="s">
        <v>103</v>
      </c>
      <c r="E76" s="13">
        <v>17</v>
      </c>
      <c r="F76" s="13">
        <v>22</v>
      </c>
      <c r="G76" s="13">
        <v>5</v>
      </c>
      <c r="H76" s="13">
        <v>443000</v>
      </c>
      <c r="I76" s="13">
        <v>27172.733999999899</v>
      </c>
      <c r="J76" s="13">
        <v>8199.7467798370599</v>
      </c>
      <c r="K76" s="13">
        <v>27172.733999999899</v>
      </c>
      <c r="L76" s="13">
        <v>505545.214779837</v>
      </c>
      <c r="M76" s="13">
        <v>738.33333333333303</v>
      </c>
      <c r="N76" s="13">
        <v>3322.49999999999</v>
      </c>
      <c r="O76" s="13">
        <v>300</v>
      </c>
      <c r="P76" s="13">
        <v>250</v>
      </c>
      <c r="Q76" s="13">
        <v>4610.8333333333303</v>
      </c>
      <c r="R76" s="13">
        <v>4430</v>
      </c>
      <c r="S76" s="13">
        <v>6066.54257735804</v>
      </c>
      <c r="T76" s="13">
        <v>13290</v>
      </c>
      <c r="U76" s="13">
        <v>15166.3564433951</v>
      </c>
      <c r="V76" s="15">
        <f t="shared" si="4"/>
        <v>62545.214779836999</v>
      </c>
    </row>
    <row r="77" spans="1:22" x14ac:dyDescent="0.2">
      <c r="A77" s="13">
        <v>68</v>
      </c>
      <c r="B77" s="13" t="s">
        <v>101</v>
      </c>
      <c r="C77" s="13">
        <v>2</v>
      </c>
      <c r="D77" s="13" t="s">
        <v>104</v>
      </c>
      <c r="E77" s="13">
        <v>17</v>
      </c>
      <c r="F77" s="13">
        <v>22</v>
      </c>
      <c r="G77" s="13">
        <v>5</v>
      </c>
      <c r="H77" s="13">
        <v>676000</v>
      </c>
      <c r="I77" s="13">
        <v>34553.74</v>
      </c>
      <c r="J77" s="13">
        <v>13883.202216778</v>
      </c>
      <c r="K77" s="13">
        <v>34553.74</v>
      </c>
      <c r="L77" s="13">
        <v>758990.682216777</v>
      </c>
      <c r="M77" s="13">
        <v>1126.6666666666599</v>
      </c>
      <c r="N77" s="13">
        <v>5069.99999999999</v>
      </c>
      <c r="O77" s="13">
        <v>300</v>
      </c>
      <c r="P77" s="13">
        <v>250</v>
      </c>
      <c r="Q77" s="13">
        <v>6746.6666666666597</v>
      </c>
      <c r="R77" s="13">
        <v>6760</v>
      </c>
      <c r="S77" s="13">
        <v>9107.8881866013307</v>
      </c>
      <c r="T77" s="13">
        <v>20280</v>
      </c>
      <c r="U77" s="13">
        <v>22769.720466503299</v>
      </c>
      <c r="V77" s="15">
        <f t="shared" si="4"/>
        <v>82990.682216777001</v>
      </c>
    </row>
    <row r="78" spans="1:22" x14ac:dyDescent="0.2">
      <c r="A78" s="13">
        <v>70</v>
      </c>
      <c r="B78" s="13" t="s">
        <v>101</v>
      </c>
      <c r="C78" s="13">
        <v>2</v>
      </c>
      <c r="D78" s="13" t="s">
        <v>104</v>
      </c>
      <c r="E78" s="13">
        <v>17</v>
      </c>
      <c r="F78" s="13">
        <v>22</v>
      </c>
      <c r="G78" s="13">
        <v>5</v>
      </c>
      <c r="H78" s="13">
        <v>676000</v>
      </c>
      <c r="I78" s="13">
        <v>34553.74</v>
      </c>
      <c r="J78" s="13">
        <v>13883.202216778</v>
      </c>
      <c r="K78" s="13">
        <v>34553.74</v>
      </c>
      <c r="L78" s="13">
        <v>758990.682216777</v>
      </c>
      <c r="M78" s="13">
        <v>1126.6666666666599</v>
      </c>
      <c r="N78" s="13">
        <v>5069.99999999999</v>
      </c>
      <c r="O78" s="13">
        <v>300</v>
      </c>
      <c r="P78" s="13">
        <v>250</v>
      </c>
      <c r="Q78" s="13">
        <v>6746.6666666666597</v>
      </c>
      <c r="R78" s="13">
        <v>6760</v>
      </c>
      <c r="S78" s="13">
        <v>9107.8881866013307</v>
      </c>
      <c r="T78" s="13">
        <v>20280</v>
      </c>
      <c r="U78" s="13">
        <v>22769.720466503299</v>
      </c>
      <c r="V78" s="15">
        <f t="shared" si="4"/>
        <v>82990.682216777001</v>
      </c>
    </row>
    <row r="79" spans="1:22" x14ac:dyDescent="0.2">
      <c r="A79" s="13">
        <v>89</v>
      </c>
      <c r="B79" s="13" t="s">
        <v>101</v>
      </c>
      <c r="C79" s="13">
        <v>2</v>
      </c>
      <c r="D79" s="13" t="s">
        <v>103</v>
      </c>
      <c r="E79" s="13">
        <v>18</v>
      </c>
      <c r="F79" s="13">
        <v>22</v>
      </c>
      <c r="G79" s="13">
        <v>4</v>
      </c>
      <c r="H79" s="13">
        <v>443000</v>
      </c>
      <c r="I79" s="13">
        <v>27172.733999999899</v>
      </c>
      <c r="J79" s="13">
        <v>6547.7445023945402</v>
      </c>
      <c r="K79" s="13">
        <v>27172.733999999899</v>
      </c>
      <c r="L79" s="13">
        <v>503893.21250239399</v>
      </c>
      <c r="M79" s="13">
        <v>590.66666666666595</v>
      </c>
      <c r="N79" s="13">
        <v>2657.99999999999</v>
      </c>
      <c r="O79" s="13">
        <v>240</v>
      </c>
      <c r="P79" s="13">
        <v>200</v>
      </c>
      <c r="Q79" s="13">
        <v>3688.6666666666601</v>
      </c>
      <c r="R79" s="13">
        <v>4430</v>
      </c>
      <c r="S79" s="13">
        <v>6046.7185500287296</v>
      </c>
      <c r="T79" s="13">
        <v>13290</v>
      </c>
      <c r="U79" s="13">
        <v>15116.796375071801</v>
      </c>
      <c r="V79" s="15">
        <f t="shared" si="4"/>
        <v>60893.212502393988</v>
      </c>
    </row>
    <row r="80" spans="1:22" x14ac:dyDescent="0.2">
      <c r="A80" s="13">
        <v>92</v>
      </c>
      <c r="B80" s="13" t="s">
        <v>101</v>
      </c>
      <c r="C80" s="13">
        <v>2</v>
      </c>
      <c r="D80" s="13" t="s">
        <v>103</v>
      </c>
      <c r="E80" s="13">
        <v>18</v>
      </c>
      <c r="F80" s="13">
        <v>22</v>
      </c>
      <c r="G80" s="13">
        <v>4</v>
      </c>
      <c r="H80" s="13">
        <v>443000</v>
      </c>
      <c r="I80" s="13">
        <v>27172.733999999899</v>
      </c>
      <c r="J80" s="13">
        <v>6547.7445023945402</v>
      </c>
      <c r="K80" s="13">
        <v>27172.733999999899</v>
      </c>
      <c r="L80" s="13">
        <v>503893.21250239399</v>
      </c>
      <c r="M80" s="13">
        <v>590.66666666666595</v>
      </c>
      <c r="N80" s="13">
        <v>2657.99999999999</v>
      </c>
      <c r="O80" s="13">
        <v>240</v>
      </c>
      <c r="P80" s="13">
        <v>200</v>
      </c>
      <c r="Q80" s="13">
        <v>3688.6666666666601</v>
      </c>
      <c r="R80" s="13">
        <v>4430</v>
      </c>
      <c r="S80" s="13">
        <v>6046.7185500287296</v>
      </c>
      <c r="T80" s="13">
        <v>13290</v>
      </c>
      <c r="U80" s="13">
        <v>15116.796375071801</v>
      </c>
      <c r="V80" s="15">
        <f t="shared" si="4"/>
        <v>60893.212502393988</v>
      </c>
    </row>
    <row r="81" spans="1:22" x14ac:dyDescent="0.2">
      <c r="A81" s="13">
        <v>93</v>
      </c>
      <c r="B81" s="13" t="s">
        <v>101</v>
      </c>
      <c r="C81" s="13">
        <v>2</v>
      </c>
      <c r="D81" s="13" t="s">
        <v>103</v>
      </c>
      <c r="E81" s="13">
        <v>18</v>
      </c>
      <c r="F81" s="13">
        <v>22</v>
      </c>
      <c r="G81" s="13">
        <v>4</v>
      </c>
      <c r="H81" s="13">
        <v>443000</v>
      </c>
      <c r="I81" s="13">
        <v>27172.733999999899</v>
      </c>
      <c r="J81" s="13">
        <v>6547.7445023945402</v>
      </c>
      <c r="K81" s="13">
        <v>27172.733999999899</v>
      </c>
      <c r="L81" s="13">
        <v>503893.21250239399</v>
      </c>
      <c r="M81" s="13">
        <v>590.66666666666595</v>
      </c>
      <c r="N81" s="13">
        <v>2657.99999999999</v>
      </c>
      <c r="O81" s="13">
        <v>240</v>
      </c>
      <c r="P81" s="13">
        <v>200</v>
      </c>
      <c r="Q81" s="13">
        <v>3688.6666666666601</v>
      </c>
      <c r="R81" s="13">
        <v>4430</v>
      </c>
      <c r="S81" s="13">
        <v>6046.7185500287296</v>
      </c>
      <c r="T81" s="13">
        <v>13290</v>
      </c>
      <c r="U81" s="13">
        <v>15116.796375071801</v>
      </c>
      <c r="V81" s="15">
        <f t="shared" si="4"/>
        <v>60893.212502393988</v>
      </c>
    </row>
    <row r="82" spans="1:22" x14ac:dyDescent="0.2">
      <c r="A82" s="13">
        <v>98</v>
      </c>
      <c r="B82" s="13" t="s">
        <v>101</v>
      </c>
      <c r="C82" s="13">
        <v>2</v>
      </c>
      <c r="D82" s="13" t="s">
        <v>102</v>
      </c>
      <c r="E82" s="13">
        <v>19</v>
      </c>
      <c r="F82" s="13">
        <v>22</v>
      </c>
      <c r="G82" s="13">
        <v>3</v>
      </c>
      <c r="H82" s="13">
        <v>338000</v>
      </c>
      <c r="I82" s="13">
        <v>27642.991999999998</v>
      </c>
      <c r="J82" s="13">
        <v>3330.4514135514601</v>
      </c>
      <c r="K82" s="13">
        <v>27642.991999999998</v>
      </c>
      <c r="L82" s="13">
        <v>396616.43541355099</v>
      </c>
      <c r="M82" s="13">
        <v>338</v>
      </c>
      <c r="N82" s="13">
        <v>1520.99999999999</v>
      </c>
      <c r="O82" s="13">
        <v>180</v>
      </c>
      <c r="P82" s="13">
        <v>150</v>
      </c>
      <c r="Q82" s="13">
        <v>2189</v>
      </c>
      <c r="R82" s="13">
        <v>3380</v>
      </c>
      <c r="S82" s="13">
        <v>4759.3972249626104</v>
      </c>
      <c r="T82" s="13">
        <v>10140</v>
      </c>
      <c r="U82" s="13">
        <v>11898.4930624065</v>
      </c>
      <c r="V82" s="15">
        <f t="shared" si="4"/>
        <v>58616.435413550993</v>
      </c>
    </row>
    <row r="83" spans="1:22" x14ac:dyDescent="0.2">
      <c r="A83" s="13">
        <v>100</v>
      </c>
      <c r="B83" s="13" t="s">
        <v>101</v>
      </c>
      <c r="C83" s="13">
        <v>2</v>
      </c>
      <c r="D83" s="13" t="s">
        <v>102</v>
      </c>
      <c r="E83" s="13">
        <v>19</v>
      </c>
      <c r="F83" s="13">
        <v>22</v>
      </c>
      <c r="G83" s="13">
        <v>3</v>
      </c>
      <c r="H83" s="13">
        <v>338000</v>
      </c>
      <c r="I83" s="13">
        <v>27642.991999999998</v>
      </c>
      <c r="J83" s="13">
        <v>3330.4514135514601</v>
      </c>
      <c r="K83" s="13">
        <v>27642.991999999998</v>
      </c>
      <c r="L83" s="13">
        <v>396616.43541355099</v>
      </c>
      <c r="M83" s="13">
        <v>338</v>
      </c>
      <c r="N83" s="13">
        <v>1520.99999999999</v>
      </c>
      <c r="O83" s="13">
        <v>180</v>
      </c>
      <c r="P83" s="13">
        <v>150</v>
      </c>
      <c r="Q83" s="13">
        <v>2189</v>
      </c>
      <c r="R83" s="13">
        <v>3380</v>
      </c>
      <c r="S83" s="13">
        <v>4759.3972249626104</v>
      </c>
      <c r="T83" s="13">
        <v>10140</v>
      </c>
      <c r="U83" s="13">
        <v>11898.4930624065</v>
      </c>
      <c r="V83" s="15">
        <f t="shared" si="4"/>
        <v>58616.435413550993</v>
      </c>
    </row>
    <row r="84" spans="1:22" x14ac:dyDescent="0.2">
      <c r="A84" s="13">
        <v>104</v>
      </c>
      <c r="B84" s="13" t="s">
        <v>101</v>
      </c>
      <c r="C84" s="13">
        <v>2</v>
      </c>
      <c r="D84" s="13" t="s">
        <v>102</v>
      </c>
      <c r="E84" s="13">
        <v>19</v>
      </c>
      <c r="F84" s="13">
        <v>22</v>
      </c>
      <c r="G84" s="13">
        <v>3</v>
      </c>
      <c r="H84" s="13">
        <v>338000</v>
      </c>
      <c r="I84" s="13">
        <v>27642.991999999998</v>
      </c>
      <c r="J84" s="13">
        <v>3330.4514135514601</v>
      </c>
      <c r="K84" s="13">
        <v>27642.991999999998</v>
      </c>
      <c r="L84" s="13">
        <v>396616.43541355099</v>
      </c>
      <c r="M84" s="13">
        <v>338</v>
      </c>
      <c r="N84" s="13">
        <v>1520.99999999999</v>
      </c>
      <c r="O84" s="13">
        <v>180</v>
      </c>
      <c r="P84" s="13">
        <v>150</v>
      </c>
      <c r="Q84" s="13">
        <v>2189</v>
      </c>
      <c r="R84" s="13">
        <v>3380</v>
      </c>
      <c r="S84" s="13">
        <v>4759.3972249626104</v>
      </c>
      <c r="T84" s="13">
        <v>10140</v>
      </c>
      <c r="U84" s="13">
        <v>11898.4930624065</v>
      </c>
      <c r="V84" s="15">
        <f t="shared" si="4"/>
        <v>58616.435413550993</v>
      </c>
    </row>
    <row r="85" spans="1:22" x14ac:dyDescent="0.2">
      <c r="A85" s="13">
        <v>105</v>
      </c>
      <c r="B85" s="13" t="s">
        <v>101</v>
      </c>
      <c r="C85" s="13">
        <v>2</v>
      </c>
      <c r="D85" s="13" t="s">
        <v>102</v>
      </c>
      <c r="E85" s="13">
        <v>19</v>
      </c>
      <c r="F85" s="13">
        <v>22</v>
      </c>
      <c r="G85" s="13">
        <v>3</v>
      </c>
      <c r="H85" s="13">
        <v>338000</v>
      </c>
      <c r="I85" s="13">
        <v>27642.991999999998</v>
      </c>
      <c r="J85" s="13">
        <v>3330.4514135514601</v>
      </c>
      <c r="K85" s="13">
        <v>27642.991999999998</v>
      </c>
      <c r="L85" s="13">
        <v>396616.43541355099</v>
      </c>
      <c r="M85" s="13">
        <v>338</v>
      </c>
      <c r="N85" s="13">
        <v>1520.99999999999</v>
      </c>
      <c r="O85" s="13">
        <v>180</v>
      </c>
      <c r="P85" s="13">
        <v>150</v>
      </c>
      <c r="Q85" s="13">
        <v>2189</v>
      </c>
      <c r="R85" s="13">
        <v>3380</v>
      </c>
      <c r="S85" s="13">
        <v>4759.3972249626104</v>
      </c>
      <c r="T85" s="13">
        <v>10140</v>
      </c>
      <c r="U85" s="13">
        <v>11898.4930624065</v>
      </c>
      <c r="V85" s="15">
        <f t="shared" si="4"/>
        <v>58616.435413550993</v>
      </c>
    </row>
    <row r="86" spans="1:22" x14ac:dyDescent="0.2">
      <c r="A86" s="13">
        <v>3</v>
      </c>
      <c r="B86" s="13" t="s">
        <v>136</v>
      </c>
      <c r="C86" s="13">
        <v>2</v>
      </c>
      <c r="D86" s="13" t="s">
        <v>102</v>
      </c>
      <c r="E86" s="13">
        <v>16</v>
      </c>
      <c r="F86" s="13">
        <v>22</v>
      </c>
      <c r="G86" s="13">
        <v>6</v>
      </c>
      <c r="H86" s="13">
        <v>305000</v>
      </c>
      <c r="I86" s="13">
        <v>30500</v>
      </c>
      <c r="J86" s="13">
        <v>4541.1927353126903</v>
      </c>
      <c r="K86" s="13">
        <v>27450</v>
      </c>
      <c r="L86" s="13">
        <v>367491.19273531198</v>
      </c>
      <c r="M86" s="13">
        <v>762.5</v>
      </c>
      <c r="N86" s="13">
        <v>1677.5</v>
      </c>
      <c r="O86" s="13">
        <v>300</v>
      </c>
      <c r="P86" s="13">
        <v>240</v>
      </c>
      <c r="Q86" s="13">
        <v>2980</v>
      </c>
      <c r="R86" s="13">
        <v>3050</v>
      </c>
      <c r="S86" s="13">
        <v>3674.9119273531201</v>
      </c>
      <c r="T86" s="13">
        <v>9150</v>
      </c>
      <c r="U86" s="13">
        <v>11024.735782059301</v>
      </c>
      <c r="V86" s="15">
        <f t="shared" si="4"/>
        <v>62491.192735311983</v>
      </c>
    </row>
    <row r="87" spans="1:22" x14ac:dyDescent="0.2">
      <c r="A87" s="13">
        <v>4</v>
      </c>
      <c r="B87" s="13" t="s">
        <v>136</v>
      </c>
      <c r="C87" s="13">
        <v>2</v>
      </c>
      <c r="D87" s="13" t="s">
        <v>102</v>
      </c>
      <c r="E87" s="13">
        <v>16</v>
      </c>
      <c r="F87" s="13">
        <v>22</v>
      </c>
      <c r="G87" s="13">
        <v>6</v>
      </c>
      <c r="H87" s="13">
        <v>305000</v>
      </c>
      <c r="I87" s="13">
        <v>30500</v>
      </c>
      <c r="J87" s="13">
        <v>4541.1927353126903</v>
      </c>
      <c r="K87" s="13">
        <v>27450</v>
      </c>
      <c r="L87" s="13">
        <v>367491.19273531198</v>
      </c>
      <c r="M87" s="13">
        <v>762.5</v>
      </c>
      <c r="N87" s="13">
        <v>1677.5</v>
      </c>
      <c r="O87" s="13">
        <v>300</v>
      </c>
      <c r="P87" s="13">
        <v>240</v>
      </c>
      <c r="Q87" s="13">
        <v>2980</v>
      </c>
      <c r="R87" s="13">
        <v>3050</v>
      </c>
      <c r="S87" s="13">
        <v>3674.9119273531201</v>
      </c>
      <c r="T87" s="13">
        <v>9150</v>
      </c>
      <c r="U87" s="13">
        <v>11024.735782059301</v>
      </c>
      <c r="V87" s="15">
        <f t="shared" si="4"/>
        <v>62491.192735311983</v>
      </c>
    </row>
    <row r="88" spans="1:22" x14ac:dyDescent="0.2">
      <c r="A88" s="13">
        <v>10</v>
      </c>
      <c r="B88" s="13" t="s">
        <v>136</v>
      </c>
      <c r="C88" s="13">
        <v>2</v>
      </c>
      <c r="D88" s="13" t="s">
        <v>103</v>
      </c>
      <c r="E88" s="13">
        <v>16</v>
      </c>
      <c r="F88" s="13">
        <v>22</v>
      </c>
      <c r="G88" s="13">
        <v>6</v>
      </c>
      <c r="H88" s="13">
        <v>405000</v>
      </c>
      <c r="I88" s="13">
        <v>32400</v>
      </c>
      <c r="J88" s="13">
        <v>7026.5464748600298</v>
      </c>
      <c r="K88" s="13">
        <v>28350</v>
      </c>
      <c r="L88" s="13">
        <v>472776.54647485999</v>
      </c>
      <c r="M88" s="13">
        <v>1012.5</v>
      </c>
      <c r="N88" s="13">
        <v>2227.5</v>
      </c>
      <c r="O88" s="13">
        <v>300</v>
      </c>
      <c r="P88" s="13">
        <v>240</v>
      </c>
      <c r="Q88" s="13">
        <v>3780</v>
      </c>
      <c r="R88" s="13">
        <v>4050</v>
      </c>
      <c r="S88" s="13">
        <v>4727.7654647485997</v>
      </c>
      <c r="T88" s="13">
        <v>12150</v>
      </c>
      <c r="U88" s="13">
        <v>14183.296394245799</v>
      </c>
      <c r="V88" s="15">
        <f t="shared" si="4"/>
        <v>67776.546474859992</v>
      </c>
    </row>
    <row r="89" spans="1:22" x14ac:dyDescent="0.2">
      <c r="A89" s="13">
        <v>21</v>
      </c>
      <c r="B89" s="13" t="s">
        <v>136</v>
      </c>
      <c r="C89" s="13">
        <v>2</v>
      </c>
      <c r="D89" s="13" t="s">
        <v>103</v>
      </c>
      <c r="E89" s="13">
        <v>17</v>
      </c>
      <c r="F89" s="13">
        <v>22</v>
      </c>
      <c r="G89" s="13">
        <v>5</v>
      </c>
      <c r="H89" s="13">
        <v>405000</v>
      </c>
      <c r="I89" s="13">
        <v>32400</v>
      </c>
      <c r="J89" s="13">
        <v>5847.0462161416699</v>
      </c>
      <c r="K89" s="13">
        <v>28350</v>
      </c>
      <c r="L89" s="13">
        <v>471597.04621614103</v>
      </c>
      <c r="M89" s="13">
        <v>843.75</v>
      </c>
      <c r="N89" s="13">
        <v>1856.25</v>
      </c>
      <c r="O89" s="13">
        <v>250</v>
      </c>
      <c r="P89" s="13">
        <v>200</v>
      </c>
      <c r="Q89" s="13">
        <v>3150</v>
      </c>
      <c r="R89" s="13">
        <v>4050</v>
      </c>
      <c r="S89" s="13">
        <v>4715.9704621614101</v>
      </c>
      <c r="T89" s="13">
        <v>12150</v>
      </c>
      <c r="U89" s="13">
        <v>14147.9113864842</v>
      </c>
      <c r="V89" s="15">
        <f t="shared" si="4"/>
        <v>66597.046216141025</v>
      </c>
    </row>
    <row r="90" spans="1:22" x14ac:dyDescent="0.2">
      <c r="A90" s="13">
        <v>23</v>
      </c>
      <c r="B90" s="13" t="s">
        <v>136</v>
      </c>
      <c r="C90" s="13">
        <v>2</v>
      </c>
      <c r="D90" s="13" t="s">
        <v>103</v>
      </c>
      <c r="E90" s="13">
        <v>17</v>
      </c>
      <c r="F90" s="13">
        <v>22</v>
      </c>
      <c r="G90" s="13">
        <v>5</v>
      </c>
      <c r="H90" s="13">
        <v>405000</v>
      </c>
      <c r="I90" s="13">
        <v>32400</v>
      </c>
      <c r="J90" s="13">
        <v>5847.0462161416699</v>
      </c>
      <c r="K90" s="13">
        <v>28350</v>
      </c>
      <c r="L90" s="13">
        <v>471597.04621614103</v>
      </c>
      <c r="M90" s="13">
        <v>843.75</v>
      </c>
      <c r="N90" s="13">
        <v>1856.25</v>
      </c>
      <c r="O90" s="13">
        <v>250</v>
      </c>
      <c r="P90" s="13">
        <v>200</v>
      </c>
      <c r="Q90" s="13">
        <v>3150</v>
      </c>
      <c r="R90" s="13">
        <v>4050</v>
      </c>
      <c r="S90" s="13">
        <v>4715.9704621614101</v>
      </c>
      <c r="T90" s="13">
        <v>12150</v>
      </c>
      <c r="U90" s="13">
        <v>14147.9113864842</v>
      </c>
      <c r="V90" s="15">
        <f t="shared" si="4"/>
        <v>66597.046216141025</v>
      </c>
    </row>
    <row r="91" spans="1:22" x14ac:dyDescent="0.2">
      <c r="A91" s="13">
        <v>25</v>
      </c>
      <c r="B91" s="13" t="s">
        <v>136</v>
      </c>
      <c r="C91" s="13">
        <v>2</v>
      </c>
      <c r="D91" s="13" t="s">
        <v>102</v>
      </c>
      <c r="E91" s="13">
        <v>18</v>
      </c>
      <c r="F91" s="13">
        <v>22</v>
      </c>
      <c r="G91" s="13">
        <v>4</v>
      </c>
      <c r="H91" s="13">
        <v>305000</v>
      </c>
      <c r="I91" s="13">
        <v>30500</v>
      </c>
      <c r="J91" s="13">
        <v>3019.9983852380701</v>
      </c>
      <c r="K91" s="13">
        <v>27450</v>
      </c>
      <c r="L91" s="13">
        <v>365969.998385238</v>
      </c>
      <c r="M91" s="13">
        <v>508.33333333333297</v>
      </c>
      <c r="N91" s="13">
        <v>1118.3333333333301</v>
      </c>
      <c r="O91" s="13">
        <v>200</v>
      </c>
      <c r="P91" s="13">
        <v>160</v>
      </c>
      <c r="Q91" s="13">
        <v>1986.6666666666599</v>
      </c>
      <c r="R91" s="13">
        <v>3050</v>
      </c>
      <c r="S91" s="13">
        <v>3659.6999838523798</v>
      </c>
      <c r="T91" s="13">
        <v>9150</v>
      </c>
      <c r="U91" s="13">
        <v>10979.0999515571</v>
      </c>
      <c r="V91" s="15">
        <f t="shared" si="4"/>
        <v>60969.998385237996</v>
      </c>
    </row>
    <row r="92" spans="1:22" x14ac:dyDescent="0.2">
      <c r="A92" s="13">
        <v>26</v>
      </c>
      <c r="B92" s="13" t="s">
        <v>136</v>
      </c>
      <c r="C92" s="13">
        <v>2</v>
      </c>
      <c r="D92" s="13" t="s">
        <v>102</v>
      </c>
      <c r="E92" s="13">
        <v>18</v>
      </c>
      <c r="F92" s="13">
        <v>22</v>
      </c>
      <c r="G92" s="13">
        <v>4</v>
      </c>
      <c r="H92" s="13">
        <v>305000</v>
      </c>
      <c r="I92" s="13">
        <v>30500</v>
      </c>
      <c r="J92" s="13">
        <v>3019.9983852380701</v>
      </c>
      <c r="K92" s="13">
        <v>27450</v>
      </c>
      <c r="L92" s="13">
        <v>365969.998385238</v>
      </c>
      <c r="M92" s="13">
        <v>508.33333333333297</v>
      </c>
      <c r="N92" s="13">
        <v>1118.3333333333301</v>
      </c>
      <c r="O92" s="13">
        <v>200</v>
      </c>
      <c r="P92" s="13">
        <v>160</v>
      </c>
      <c r="Q92" s="13">
        <v>1986.6666666666599</v>
      </c>
      <c r="R92" s="13">
        <v>3050</v>
      </c>
      <c r="S92" s="13">
        <v>3659.6999838523798</v>
      </c>
      <c r="T92" s="13">
        <v>9150</v>
      </c>
      <c r="U92" s="13">
        <v>10979.0999515571</v>
      </c>
      <c r="V92" s="15">
        <f t="shared" si="4"/>
        <v>60969.998385237996</v>
      </c>
    </row>
    <row r="93" spans="1:22" x14ac:dyDescent="0.2">
      <c r="A93" s="13">
        <v>27</v>
      </c>
      <c r="B93" s="13" t="s">
        <v>136</v>
      </c>
      <c r="C93" s="13">
        <v>2</v>
      </c>
      <c r="D93" s="13" t="s">
        <v>102</v>
      </c>
      <c r="E93" s="13">
        <v>18</v>
      </c>
      <c r="F93" s="13">
        <v>22</v>
      </c>
      <c r="G93" s="13">
        <v>4</v>
      </c>
      <c r="H93" s="13">
        <v>305000</v>
      </c>
      <c r="I93" s="13">
        <v>30500</v>
      </c>
      <c r="J93" s="13">
        <v>3019.9983852380701</v>
      </c>
      <c r="K93" s="13">
        <v>27450</v>
      </c>
      <c r="L93" s="13">
        <v>365969.998385238</v>
      </c>
      <c r="M93" s="13">
        <v>508.33333333333297</v>
      </c>
      <c r="N93" s="13">
        <v>1118.3333333333301</v>
      </c>
      <c r="O93" s="13">
        <v>200</v>
      </c>
      <c r="P93" s="13">
        <v>160</v>
      </c>
      <c r="Q93" s="13">
        <v>1986.6666666666599</v>
      </c>
      <c r="R93" s="13">
        <v>3050</v>
      </c>
      <c r="S93" s="13">
        <v>3659.6999838523798</v>
      </c>
      <c r="T93" s="13">
        <v>9150</v>
      </c>
      <c r="U93" s="13">
        <v>10979.0999515571</v>
      </c>
      <c r="V93" s="15">
        <f t="shared" si="4"/>
        <v>60969.998385237996</v>
      </c>
    </row>
    <row r="94" spans="1:22" x14ac:dyDescent="0.2">
      <c r="A94" s="13">
        <v>30</v>
      </c>
      <c r="B94" s="13" t="s">
        <v>136</v>
      </c>
      <c r="C94" s="13">
        <v>2</v>
      </c>
      <c r="D94" s="13" t="s">
        <v>102</v>
      </c>
      <c r="E94" s="13">
        <v>18</v>
      </c>
      <c r="F94" s="13">
        <v>22</v>
      </c>
      <c r="G94" s="13">
        <v>4</v>
      </c>
      <c r="H94" s="13">
        <v>305000</v>
      </c>
      <c r="I94" s="13">
        <v>30500</v>
      </c>
      <c r="J94" s="13">
        <v>3019.9983852380701</v>
      </c>
      <c r="K94" s="13">
        <v>27450</v>
      </c>
      <c r="L94" s="13">
        <v>365969.998385238</v>
      </c>
      <c r="M94" s="13">
        <v>508.33333333333297</v>
      </c>
      <c r="N94" s="13">
        <v>1118.3333333333301</v>
      </c>
      <c r="O94" s="13">
        <v>200</v>
      </c>
      <c r="P94" s="13">
        <v>160</v>
      </c>
      <c r="Q94" s="13">
        <v>1986.6666666666599</v>
      </c>
      <c r="R94" s="13">
        <v>3050</v>
      </c>
      <c r="S94" s="13">
        <v>3659.6999838523798</v>
      </c>
      <c r="T94" s="13">
        <v>9150</v>
      </c>
      <c r="U94" s="13">
        <v>10979.0999515571</v>
      </c>
      <c r="V94" s="15">
        <f t="shared" si="4"/>
        <v>60969.998385237996</v>
      </c>
    </row>
    <row r="95" spans="1:22" x14ac:dyDescent="0.2">
      <c r="A95" s="13">
        <v>32</v>
      </c>
      <c r="B95" s="13" t="s">
        <v>136</v>
      </c>
      <c r="C95" s="13">
        <v>2</v>
      </c>
      <c r="D95" s="13" t="s">
        <v>102</v>
      </c>
      <c r="E95" s="13">
        <v>18</v>
      </c>
      <c r="F95" s="13">
        <v>22</v>
      </c>
      <c r="G95" s="13">
        <v>4</v>
      </c>
      <c r="H95" s="13">
        <v>305000</v>
      </c>
      <c r="I95" s="13">
        <v>30500</v>
      </c>
      <c r="J95" s="13">
        <v>3019.9983852380701</v>
      </c>
      <c r="K95" s="13">
        <v>27450</v>
      </c>
      <c r="L95" s="13">
        <v>365969.998385238</v>
      </c>
      <c r="M95" s="13">
        <v>508.33333333333297</v>
      </c>
      <c r="N95" s="13">
        <v>1118.3333333333301</v>
      </c>
      <c r="O95" s="13">
        <v>200</v>
      </c>
      <c r="P95" s="13">
        <v>160</v>
      </c>
      <c r="Q95" s="13">
        <v>1986.6666666666599</v>
      </c>
      <c r="R95" s="13">
        <v>3050</v>
      </c>
      <c r="S95" s="13">
        <v>3659.6999838523798</v>
      </c>
      <c r="T95" s="13">
        <v>9150</v>
      </c>
      <c r="U95" s="13">
        <v>10979.0999515571</v>
      </c>
      <c r="V95" s="15">
        <f t="shared" si="4"/>
        <v>60969.998385237996</v>
      </c>
    </row>
    <row r="96" spans="1:22" x14ac:dyDescent="0.2">
      <c r="V96" s="14">
        <f>SUM(V63:V95)</f>
        <v>2162024.522493389</v>
      </c>
    </row>
    <row r="97" spans="1:22" x14ac:dyDescent="0.2">
      <c r="A97" s="13">
        <v>56</v>
      </c>
      <c r="B97" s="13" t="s">
        <v>101</v>
      </c>
      <c r="C97" s="13">
        <v>2</v>
      </c>
      <c r="D97" s="13" t="s">
        <v>103</v>
      </c>
      <c r="E97" s="13">
        <v>17</v>
      </c>
      <c r="F97" s="13">
        <v>23</v>
      </c>
      <c r="G97" s="13">
        <v>6</v>
      </c>
      <c r="H97" s="13">
        <v>443000</v>
      </c>
      <c r="I97" s="13">
        <v>27172.733999999899</v>
      </c>
      <c r="J97" s="13">
        <v>9857.8198507783309</v>
      </c>
      <c r="K97" s="13">
        <v>27172.733999999899</v>
      </c>
      <c r="L97" s="13">
        <v>507203.28785077803</v>
      </c>
      <c r="M97" s="13">
        <v>886</v>
      </c>
      <c r="N97" s="13">
        <v>3986.99999999999</v>
      </c>
      <c r="O97" s="13">
        <v>360</v>
      </c>
      <c r="P97" s="13">
        <v>300</v>
      </c>
      <c r="Q97" s="13">
        <v>5533</v>
      </c>
      <c r="R97" s="13">
        <v>4430</v>
      </c>
      <c r="S97" s="13">
        <v>6086.4394542093396</v>
      </c>
      <c r="T97" s="13">
        <v>13290</v>
      </c>
      <c r="U97" s="13">
        <v>15216.0986355233</v>
      </c>
      <c r="V97" s="15">
        <f t="shared" ref="V97:V128" si="5">L97-H97</f>
        <v>64203.287850778026</v>
      </c>
    </row>
    <row r="98" spans="1:22" x14ac:dyDescent="0.2">
      <c r="A98" s="13">
        <v>59</v>
      </c>
      <c r="B98" s="13" t="s">
        <v>101</v>
      </c>
      <c r="C98" s="13">
        <v>2</v>
      </c>
      <c r="D98" s="13" t="s">
        <v>103</v>
      </c>
      <c r="E98" s="13">
        <v>17</v>
      </c>
      <c r="F98" s="13">
        <v>23</v>
      </c>
      <c r="G98" s="13">
        <v>6</v>
      </c>
      <c r="H98" s="13">
        <v>443000</v>
      </c>
      <c r="I98" s="13">
        <v>27172.733999999899</v>
      </c>
      <c r="J98" s="13">
        <v>9857.8198507783309</v>
      </c>
      <c r="K98" s="13">
        <v>27172.733999999899</v>
      </c>
      <c r="L98" s="13">
        <v>507203.28785077803</v>
      </c>
      <c r="M98" s="13">
        <v>886</v>
      </c>
      <c r="N98" s="13">
        <v>3986.99999999999</v>
      </c>
      <c r="O98" s="13">
        <v>360</v>
      </c>
      <c r="P98" s="13">
        <v>300</v>
      </c>
      <c r="Q98" s="13">
        <v>5533</v>
      </c>
      <c r="R98" s="13">
        <v>4430</v>
      </c>
      <c r="S98" s="13">
        <v>6086.4394542093396</v>
      </c>
      <c r="T98" s="13">
        <v>13290</v>
      </c>
      <c r="U98" s="13">
        <v>15216.0986355233</v>
      </c>
      <c r="V98" s="15">
        <f t="shared" si="5"/>
        <v>64203.287850778026</v>
      </c>
    </row>
    <row r="99" spans="1:22" x14ac:dyDescent="0.2">
      <c r="A99" s="13">
        <v>60</v>
      </c>
      <c r="B99" s="13" t="s">
        <v>101</v>
      </c>
      <c r="C99" s="13">
        <v>2</v>
      </c>
      <c r="D99" s="13" t="s">
        <v>103</v>
      </c>
      <c r="E99" s="13">
        <v>17</v>
      </c>
      <c r="F99" s="13">
        <v>23</v>
      </c>
      <c r="G99" s="13">
        <v>6</v>
      </c>
      <c r="H99" s="13">
        <v>443000</v>
      </c>
      <c r="I99" s="13">
        <v>27172.733999999899</v>
      </c>
      <c r="J99" s="13">
        <v>9857.8198507783309</v>
      </c>
      <c r="K99" s="13">
        <v>27172.733999999899</v>
      </c>
      <c r="L99" s="13">
        <v>507203.28785077803</v>
      </c>
      <c r="M99" s="13">
        <v>886</v>
      </c>
      <c r="N99" s="13">
        <v>3986.99999999999</v>
      </c>
      <c r="O99" s="13">
        <v>360</v>
      </c>
      <c r="P99" s="13">
        <v>300</v>
      </c>
      <c r="Q99" s="13">
        <v>5533</v>
      </c>
      <c r="R99" s="13">
        <v>4430</v>
      </c>
      <c r="S99" s="13">
        <v>6086.4394542093396</v>
      </c>
      <c r="T99" s="13">
        <v>13290</v>
      </c>
      <c r="U99" s="13">
        <v>15216.0986355233</v>
      </c>
      <c r="V99" s="15">
        <f t="shared" si="5"/>
        <v>64203.287850778026</v>
      </c>
    </row>
    <row r="100" spans="1:22" x14ac:dyDescent="0.2">
      <c r="A100" s="13">
        <v>61</v>
      </c>
      <c r="B100" s="13" t="s">
        <v>101</v>
      </c>
      <c r="C100" s="13">
        <v>2</v>
      </c>
      <c r="D100" s="13" t="s">
        <v>103</v>
      </c>
      <c r="E100" s="13">
        <v>17</v>
      </c>
      <c r="F100" s="13">
        <v>23</v>
      </c>
      <c r="G100" s="13">
        <v>6</v>
      </c>
      <c r="H100" s="13">
        <v>443000</v>
      </c>
      <c r="I100" s="13">
        <v>27172.733999999899</v>
      </c>
      <c r="J100" s="13">
        <v>9857.8198507783309</v>
      </c>
      <c r="K100" s="13">
        <v>27172.733999999899</v>
      </c>
      <c r="L100" s="13">
        <v>507203.28785077803</v>
      </c>
      <c r="M100" s="13">
        <v>886</v>
      </c>
      <c r="N100" s="13">
        <v>3986.99999999999</v>
      </c>
      <c r="O100" s="13">
        <v>360</v>
      </c>
      <c r="P100" s="13">
        <v>300</v>
      </c>
      <c r="Q100" s="13">
        <v>5533</v>
      </c>
      <c r="R100" s="13">
        <v>4430</v>
      </c>
      <c r="S100" s="13">
        <v>6086.4394542093396</v>
      </c>
      <c r="T100" s="13">
        <v>13290</v>
      </c>
      <c r="U100" s="13">
        <v>15216.0986355233</v>
      </c>
      <c r="V100" s="15">
        <f t="shared" si="5"/>
        <v>64203.287850778026</v>
      </c>
    </row>
    <row r="101" spans="1:22" x14ac:dyDescent="0.2">
      <c r="A101" s="13">
        <v>65</v>
      </c>
      <c r="B101" s="13" t="s">
        <v>101</v>
      </c>
      <c r="C101" s="13">
        <v>2</v>
      </c>
      <c r="D101" s="13" t="s">
        <v>103</v>
      </c>
      <c r="E101" s="13">
        <v>17</v>
      </c>
      <c r="F101" s="13">
        <v>23</v>
      </c>
      <c r="G101" s="13">
        <v>6</v>
      </c>
      <c r="H101" s="13">
        <v>443000</v>
      </c>
      <c r="I101" s="13">
        <v>27172.733999999899</v>
      </c>
      <c r="J101" s="13">
        <v>9857.8198507783309</v>
      </c>
      <c r="K101" s="13">
        <v>27172.733999999899</v>
      </c>
      <c r="L101" s="13">
        <v>507203.28785077803</v>
      </c>
      <c r="M101" s="13">
        <v>886</v>
      </c>
      <c r="N101" s="13">
        <v>3986.99999999999</v>
      </c>
      <c r="O101" s="13">
        <v>360</v>
      </c>
      <c r="P101" s="13">
        <v>300</v>
      </c>
      <c r="Q101" s="13">
        <v>5533</v>
      </c>
      <c r="R101" s="13">
        <v>4430</v>
      </c>
      <c r="S101" s="13">
        <v>6086.4394542093396</v>
      </c>
      <c r="T101" s="13">
        <v>13290</v>
      </c>
      <c r="U101" s="13">
        <v>15216.0986355233</v>
      </c>
      <c r="V101" s="15">
        <f t="shared" si="5"/>
        <v>64203.287850778026</v>
      </c>
    </row>
    <row r="102" spans="1:22" x14ac:dyDescent="0.2">
      <c r="A102" s="13">
        <v>67</v>
      </c>
      <c r="B102" s="13" t="s">
        <v>101</v>
      </c>
      <c r="C102" s="13">
        <v>2</v>
      </c>
      <c r="D102" s="13" t="s">
        <v>103</v>
      </c>
      <c r="E102" s="13">
        <v>17</v>
      </c>
      <c r="F102" s="13">
        <v>23</v>
      </c>
      <c r="G102" s="13">
        <v>6</v>
      </c>
      <c r="H102" s="13">
        <v>443000</v>
      </c>
      <c r="I102" s="13">
        <v>27172.733999999899</v>
      </c>
      <c r="J102" s="13">
        <v>9857.8198507783309</v>
      </c>
      <c r="K102" s="13">
        <v>27172.733999999899</v>
      </c>
      <c r="L102" s="13">
        <v>507203.28785077803</v>
      </c>
      <c r="M102" s="13">
        <v>886</v>
      </c>
      <c r="N102" s="13">
        <v>3986.99999999999</v>
      </c>
      <c r="O102" s="13">
        <v>360</v>
      </c>
      <c r="P102" s="13">
        <v>300</v>
      </c>
      <c r="Q102" s="13">
        <v>5533</v>
      </c>
      <c r="R102" s="13">
        <v>4430</v>
      </c>
      <c r="S102" s="13">
        <v>6086.4394542093396</v>
      </c>
      <c r="T102" s="13">
        <v>13290</v>
      </c>
      <c r="U102" s="13">
        <v>15216.0986355233</v>
      </c>
      <c r="V102" s="15">
        <f t="shared" si="5"/>
        <v>64203.287850778026</v>
      </c>
    </row>
    <row r="103" spans="1:22" x14ac:dyDescent="0.2">
      <c r="A103" s="13">
        <v>71</v>
      </c>
      <c r="B103" s="13" t="s">
        <v>101</v>
      </c>
      <c r="C103" s="13">
        <v>2</v>
      </c>
      <c r="D103" s="13" t="s">
        <v>102</v>
      </c>
      <c r="E103" s="13">
        <v>18</v>
      </c>
      <c r="F103" s="13">
        <v>23</v>
      </c>
      <c r="G103" s="13">
        <v>5</v>
      </c>
      <c r="H103" s="13">
        <v>338000</v>
      </c>
      <c r="I103" s="13">
        <v>27642.991999999998</v>
      </c>
      <c r="J103" s="13">
        <v>5568.9637343662098</v>
      </c>
      <c r="K103" s="13">
        <v>27642.991999999998</v>
      </c>
      <c r="L103" s="13">
        <v>398854.947734366</v>
      </c>
      <c r="M103" s="13">
        <v>563.33333333333303</v>
      </c>
      <c r="N103" s="13">
        <v>2534.99999999999</v>
      </c>
      <c r="O103" s="13">
        <v>300</v>
      </c>
      <c r="P103" s="13">
        <v>250</v>
      </c>
      <c r="Q103" s="13">
        <v>3648.3333333333298</v>
      </c>
      <c r="R103" s="13">
        <v>3380</v>
      </c>
      <c r="S103" s="13">
        <v>4786.2593728123902</v>
      </c>
      <c r="T103" s="13">
        <v>10140</v>
      </c>
      <c r="U103" s="13">
        <v>11965.648432030899</v>
      </c>
      <c r="V103" s="15">
        <f t="shared" si="5"/>
        <v>60854.947734365996</v>
      </c>
    </row>
    <row r="104" spans="1:22" x14ac:dyDescent="0.2">
      <c r="A104" s="13">
        <v>72</v>
      </c>
      <c r="B104" s="13" t="s">
        <v>101</v>
      </c>
      <c r="C104" s="13">
        <v>2</v>
      </c>
      <c r="D104" s="13" t="s">
        <v>102</v>
      </c>
      <c r="E104" s="13">
        <v>18</v>
      </c>
      <c r="F104" s="13">
        <v>23</v>
      </c>
      <c r="G104" s="13">
        <v>5</v>
      </c>
      <c r="H104" s="13">
        <v>338000</v>
      </c>
      <c r="I104" s="13">
        <v>27642.991999999998</v>
      </c>
      <c r="J104" s="13">
        <v>5568.9637343662098</v>
      </c>
      <c r="K104" s="13">
        <v>27642.991999999998</v>
      </c>
      <c r="L104" s="13">
        <v>398854.947734366</v>
      </c>
      <c r="M104" s="13">
        <v>563.33333333333303</v>
      </c>
      <c r="N104" s="13">
        <v>2534.99999999999</v>
      </c>
      <c r="O104" s="13">
        <v>300</v>
      </c>
      <c r="P104" s="13">
        <v>250</v>
      </c>
      <c r="Q104" s="13">
        <v>3648.3333333333298</v>
      </c>
      <c r="R104" s="13">
        <v>3380</v>
      </c>
      <c r="S104" s="13">
        <v>4786.2593728123902</v>
      </c>
      <c r="T104" s="13">
        <v>10140</v>
      </c>
      <c r="U104" s="13">
        <v>11965.648432030899</v>
      </c>
      <c r="V104" s="15">
        <f t="shared" si="5"/>
        <v>60854.947734365996</v>
      </c>
    </row>
    <row r="105" spans="1:22" x14ac:dyDescent="0.2">
      <c r="A105" s="13">
        <v>73</v>
      </c>
      <c r="B105" s="13" t="s">
        <v>101</v>
      </c>
      <c r="C105" s="13">
        <v>2</v>
      </c>
      <c r="D105" s="13" t="s">
        <v>102</v>
      </c>
      <c r="E105" s="13">
        <v>18</v>
      </c>
      <c r="F105" s="13">
        <v>23</v>
      </c>
      <c r="G105" s="13">
        <v>5</v>
      </c>
      <c r="H105" s="13">
        <v>338000</v>
      </c>
      <c r="I105" s="13">
        <v>27642.991999999998</v>
      </c>
      <c r="J105" s="13">
        <v>5568.9637343662098</v>
      </c>
      <c r="K105" s="13">
        <v>27642.991999999998</v>
      </c>
      <c r="L105" s="13">
        <v>398854.947734366</v>
      </c>
      <c r="M105" s="13">
        <v>563.33333333333303</v>
      </c>
      <c r="N105" s="13">
        <v>2534.99999999999</v>
      </c>
      <c r="O105" s="13">
        <v>300</v>
      </c>
      <c r="P105" s="13">
        <v>250</v>
      </c>
      <c r="Q105" s="13">
        <v>3648.3333333333298</v>
      </c>
      <c r="R105" s="13">
        <v>3380</v>
      </c>
      <c r="S105" s="13">
        <v>4786.2593728123902</v>
      </c>
      <c r="T105" s="13">
        <v>10140</v>
      </c>
      <c r="U105" s="13">
        <v>11965.648432030899</v>
      </c>
      <c r="V105" s="15">
        <f t="shared" si="5"/>
        <v>60854.947734365996</v>
      </c>
    </row>
    <row r="106" spans="1:22" x14ac:dyDescent="0.2">
      <c r="A106" s="13">
        <v>75</v>
      </c>
      <c r="B106" s="13" t="s">
        <v>101</v>
      </c>
      <c r="C106" s="13">
        <v>2</v>
      </c>
      <c r="D106" s="13" t="s">
        <v>102</v>
      </c>
      <c r="E106" s="13">
        <v>18</v>
      </c>
      <c r="F106" s="13">
        <v>23</v>
      </c>
      <c r="G106" s="13">
        <v>5</v>
      </c>
      <c r="H106" s="13">
        <v>338000</v>
      </c>
      <c r="I106" s="13">
        <v>27642.991999999998</v>
      </c>
      <c r="J106" s="13">
        <v>5568.9637343662098</v>
      </c>
      <c r="K106" s="13">
        <v>27642.991999999998</v>
      </c>
      <c r="L106" s="13">
        <v>398854.947734366</v>
      </c>
      <c r="M106" s="13">
        <v>563.33333333333303</v>
      </c>
      <c r="N106" s="13">
        <v>2534.99999999999</v>
      </c>
      <c r="O106" s="13">
        <v>300</v>
      </c>
      <c r="P106" s="13">
        <v>250</v>
      </c>
      <c r="Q106" s="13">
        <v>3648.3333333333298</v>
      </c>
      <c r="R106" s="13">
        <v>3380</v>
      </c>
      <c r="S106" s="13">
        <v>4786.2593728123902</v>
      </c>
      <c r="T106" s="13">
        <v>10140</v>
      </c>
      <c r="U106" s="13">
        <v>11965.648432030899</v>
      </c>
      <c r="V106" s="15">
        <f t="shared" si="5"/>
        <v>60854.947734365996</v>
      </c>
    </row>
    <row r="107" spans="1:22" x14ac:dyDescent="0.2">
      <c r="A107" s="13">
        <v>77</v>
      </c>
      <c r="B107" s="13" t="s">
        <v>101</v>
      </c>
      <c r="C107" s="13">
        <v>2</v>
      </c>
      <c r="D107" s="13" t="s">
        <v>102</v>
      </c>
      <c r="E107" s="13">
        <v>18</v>
      </c>
      <c r="F107" s="13">
        <v>23</v>
      </c>
      <c r="G107" s="13">
        <v>5</v>
      </c>
      <c r="H107" s="13">
        <v>338000</v>
      </c>
      <c r="I107" s="13">
        <v>27642.991999999998</v>
      </c>
      <c r="J107" s="13">
        <v>5568.9637343662098</v>
      </c>
      <c r="K107" s="13">
        <v>27642.991999999998</v>
      </c>
      <c r="L107" s="13">
        <v>398854.947734366</v>
      </c>
      <c r="M107" s="13">
        <v>563.33333333333303</v>
      </c>
      <c r="N107" s="13">
        <v>2534.99999999999</v>
      </c>
      <c r="O107" s="13">
        <v>300</v>
      </c>
      <c r="P107" s="13">
        <v>250</v>
      </c>
      <c r="Q107" s="13">
        <v>3648.3333333333298</v>
      </c>
      <c r="R107" s="13">
        <v>3380</v>
      </c>
      <c r="S107" s="13">
        <v>4786.2593728123902</v>
      </c>
      <c r="T107" s="13">
        <v>10140</v>
      </c>
      <c r="U107" s="13">
        <v>11965.648432030899</v>
      </c>
      <c r="V107" s="15">
        <f t="shared" si="5"/>
        <v>60854.947734365996</v>
      </c>
    </row>
    <row r="108" spans="1:22" x14ac:dyDescent="0.2">
      <c r="A108" s="13">
        <v>78</v>
      </c>
      <c r="B108" s="13" t="s">
        <v>101</v>
      </c>
      <c r="C108" s="13">
        <v>2</v>
      </c>
      <c r="D108" s="13" t="s">
        <v>102</v>
      </c>
      <c r="E108" s="13">
        <v>18</v>
      </c>
      <c r="F108" s="13">
        <v>23</v>
      </c>
      <c r="G108" s="13">
        <v>5</v>
      </c>
      <c r="H108" s="13">
        <v>338000</v>
      </c>
      <c r="I108" s="13">
        <v>27642.991999999998</v>
      </c>
      <c r="J108" s="13">
        <v>5568.9637343662098</v>
      </c>
      <c r="K108" s="13">
        <v>27642.991999999998</v>
      </c>
      <c r="L108" s="13">
        <v>398854.947734366</v>
      </c>
      <c r="M108" s="13">
        <v>563.33333333333303</v>
      </c>
      <c r="N108" s="13">
        <v>2534.99999999999</v>
      </c>
      <c r="O108" s="13">
        <v>300</v>
      </c>
      <c r="P108" s="13">
        <v>250</v>
      </c>
      <c r="Q108" s="13">
        <v>3648.3333333333298</v>
      </c>
      <c r="R108" s="13">
        <v>3380</v>
      </c>
      <c r="S108" s="13">
        <v>4786.2593728123902</v>
      </c>
      <c r="T108" s="13">
        <v>10140</v>
      </c>
      <c r="U108" s="13">
        <v>11965.648432030899</v>
      </c>
      <c r="V108" s="15">
        <f t="shared" si="5"/>
        <v>60854.947734365996</v>
      </c>
    </row>
    <row r="109" spans="1:22" x14ac:dyDescent="0.2">
      <c r="A109" s="13">
        <v>79</v>
      </c>
      <c r="B109" s="13" t="s">
        <v>101</v>
      </c>
      <c r="C109" s="13">
        <v>2</v>
      </c>
      <c r="D109" s="13" t="s">
        <v>102</v>
      </c>
      <c r="E109" s="13">
        <v>18</v>
      </c>
      <c r="F109" s="13">
        <v>23</v>
      </c>
      <c r="G109" s="13">
        <v>5</v>
      </c>
      <c r="H109" s="13">
        <v>338000</v>
      </c>
      <c r="I109" s="13">
        <v>27642.991999999998</v>
      </c>
      <c r="J109" s="13">
        <v>5568.9637343662098</v>
      </c>
      <c r="K109" s="13">
        <v>27642.991999999998</v>
      </c>
      <c r="L109" s="13">
        <v>398854.947734366</v>
      </c>
      <c r="M109" s="13">
        <v>563.33333333333303</v>
      </c>
      <c r="N109" s="13">
        <v>2534.99999999999</v>
      </c>
      <c r="O109" s="13">
        <v>300</v>
      </c>
      <c r="P109" s="13">
        <v>250</v>
      </c>
      <c r="Q109" s="13">
        <v>3648.3333333333298</v>
      </c>
      <c r="R109" s="13">
        <v>3380</v>
      </c>
      <c r="S109" s="13">
        <v>4786.2593728123902</v>
      </c>
      <c r="T109" s="13">
        <v>10140</v>
      </c>
      <c r="U109" s="13">
        <v>11965.648432030899</v>
      </c>
      <c r="V109" s="15">
        <f t="shared" si="5"/>
        <v>60854.947734365996</v>
      </c>
    </row>
    <row r="110" spans="1:22" x14ac:dyDescent="0.2">
      <c r="A110" s="13">
        <v>80</v>
      </c>
      <c r="B110" s="13" t="s">
        <v>101</v>
      </c>
      <c r="C110" s="13">
        <v>2</v>
      </c>
      <c r="D110" s="13" t="s">
        <v>103</v>
      </c>
      <c r="E110" s="13">
        <v>18</v>
      </c>
      <c r="F110" s="13">
        <v>23</v>
      </c>
      <c r="G110" s="13">
        <v>5</v>
      </c>
      <c r="H110" s="13">
        <v>443000</v>
      </c>
      <c r="I110" s="13">
        <v>27172.733999999899</v>
      </c>
      <c r="J110" s="13">
        <v>8199.7467798370599</v>
      </c>
      <c r="K110" s="13">
        <v>27172.733999999899</v>
      </c>
      <c r="L110" s="13">
        <v>505545.214779837</v>
      </c>
      <c r="M110" s="13">
        <v>738.33333333333303</v>
      </c>
      <c r="N110" s="13">
        <v>3322.49999999999</v>
      </c>
      <c r="O110" s="13">
        <v>300</v>
      </c>
      <c r="P110" s="13">
        <v>250</v>
      </c>
      <c r="Q110" s="13">
        <v>4610.8333333333303</v>
      </c>
      <c r="R110" s="13">
        <v>4430</v>
      </c>
      <c r="S110" s="13">
        <v>6066.54257735804</v>
      </c>
      <c r="T110" s="13">
        <v>13290</v>
      </c>
      <c r="U110" s="13">
        <v>15166.3564433951</v>
      </c>
      <c r="V110" s="15">
        <f t="shared" si="5"/>
        <v>62545.214779836999</v>
      </c>
    </row>
    <row r="111" spans="1:22" x14ac:dyDescent="0.2">
      <c r="A111" s="13">
        <v>82</v>
      </c>
      <c r="B111" s="13" t="s">
        <v>101</v>
      </c>
      <c r="C111" s="13">
        <v>2</v>
      </c>
      <c r="D111" s="13" t="s">
        <v>103</v>
      </c>
      <c r="E111" s="13">
        <v>18</v>
      </c>
      <c r="F111" s="13">
        <v>23</v>
      </c>
      <c r="G111" s="13">
        <v>5</v>
      </c>
      <c r="H111" s="13">
        <v>443000</v>
      </c>
      <c r="I111" s="13">
        <v>27172.733999999899</v>
      </c>
      <c r="J111" s="13">
        <v>8199.7467798370599</v>
      </c>
      <c r="K111" s="13">
        <v>27172.733999999899</v>
      </c>
      <c r="L111" s="13">
        <v>505545.214779837</v>
      </c>
      <c r="M111" s="13">
        <v>738.33333333333303</v>
      </c>
      <c r="N111" s="13">
        <v>3322.49999999999</v>
      </c>
      <c r="O111" s="13">
        <v>300</v>
      </c>
      <c r="P111" s="13">
        <v>250</v>
      </c>
      <c r="Q111" s="13">
        <v>4610.8333333333303</v>
      </c>
      <c r="R111" s="13">
        <v>4430</v>
      </c>
      <c r="S111" s="13">
        <v>6066.54257735804</v>
      </c>
      <c r="T111" s="13">
        <v>13290</v>
      </c>
      <c r="U111" s="13">
        <v>15166.3564433951</v>
      </c>
      <c r="V111" s="15">
        <f t="shared" si="5"/>
        <v>62545.214779836999</v>
      </c>
    </row>
    <row r="112" spans="1:22" x14ac:dyDescent="0.2">
      <c r="A112" s="13">
        <v>85</v>
      </c>
      <c r="B112" s="13" t="s">
        <v>101</v>
      </c>
      <c r="C112" s="13">
        <v>2</v>
      </c>
      <c r="D112" s="13" t="s">
        <v>103</v>
      </c>
      <c r="E112" s="13">
        <v>18</v>
      </c>
      <c r="F112" s="13">
        <v>23</v>
      </c>
      <c r="G112" s="13">
        <v>5</v>
      </c>
      <c r="H112" s="13">
        <v>443000</v>
      </c>
      <c r="I112" s="13">
        <v>27172.733999999899</v>
      </c>
      <c r="J112" s="13">
        <v>8199.7467798370599</v>
      </c>
      <c r="K112" s="13">
        <v>27172.733999999899</v>
      </c>
      <c r="L112" s="13">
        <v>505545.214779837</v>
      </c>
      <c r="M112" s="13">
        <v>738.33333333333303</v>
      </c>
      <c r="N112" s="13">
        <v>3322.49999999999</v>
      </c>
      <c r="O112" s="13">
        <v>300</v>
      </c>
      <c r="P112" s="13">
        <v>250</v>
      </c>
      <c r="Q112" s="13">
        <v>4610.8333333333303</v>
      </c>
      <c r="R112" s="13">
        <v>4430</v>
      </c>
      <c r="S112" s="13">
        <v>6066.54257735804</v>
      </c>
      <c r="T112" s="13">
        <v>13290</v>
      </c>
      <c r="U112" s="13">
        <v>15166.3564433951</v>
      </c>
      <c r="V112" s="15">
        <f t="shared" si="5"/>
        <v>62545.214779836999</v>
      </c>
    </row>
    <row r="113" spans="1:22" x14ac:dyDescent="0.2">
      <c r="A113" s="13">
        <v>90</v>
      </c>
      <c r="B113" s="13" t="s">
        <v>101</v>
      </c>
      <c r="C113" s="13">
        <v>2</v>
      </c>
      <c r="D113" s="13" t="s">
        <v>103</v>
      </c>
      <c r="E113" s="13">
        <v>18</v>
      </c>
      <c r="F113" s="13">
        <v>23</v>
      </c>
      <c r="G113" s="13">
        <v>5</v>
      </c>
      <c r="H113" s="13">
        <v>443000</v>
      </c>
      <c r="I113" s="13">
        <v>27172.733999999899</v>
      </c>
      <c r="J113" s="13">
        <v>8199.7467798370599</v>
      </c>
      <c r="K113" s="13">
        <v>27172.733999999899</v>
      </c>
      <c r="L113" s="13">
        <v>505545.214779837</v>
      </c>
      <c r="M113" s="13">
        <v>738.33333333333303</v>
      </c>
      <c r="N113" s="13">
        <v>3322.49999999999</v>
      </c>
      <c r="O113" s="13">
        <v>300</v>
      </c>
      <c r="P113" s="13">
        <v>250</v>
      </c>
      <c r="Q113" s="13">
        <v>4610.8333333333303</v>
      </c>
      <c r="R113" s="13">
        <v>4430</v>
      </c>
      <c r="S113" s="13">
        <v>6066.54257735804</v>
      </c>
      <c r="T113" s="13">
        <v>13290</v>
      </c>
      <c r="U113" s="13">
        <v>15166.3564433951</v>
      </c>
      <c r="V113" s="15">
        <f t="shared" si="5"/>
        <v>62545.214779836999</v>
      </c>
    </row>
    <row r="114" spans="1:22" x14ac:dyDescent="0.2">
      <c r="A114" s="13">
        <v>91</v>
      </c>
      <c r="B114" s="13" t="s">
        <v>101</v>
      </c>
      <c r="C114" s="13">
        <v>2</v>
      </c>
      <c r="D114" s="13" t="s">
        <v>103</v>
      </c>
      <c r="E114" s="13">
        <v>18</v>
      </c>
      <c r="F114" s="13">
        <v>23</v>
      </c>
      <c r="G114" s="13">
        <v>5</v>
      </c>
      <c r="H114" s="13">
        <v>443000</v>
      </c>
      <c r="I114" s="13">
        <v>27172.733999999899</v>
      </c>
      <c r="J114" s="13">
        <v>8199.7467798370599</v>
      </c>
      <c r="K114" s="13">
        <v>27172.733999999899</v>
      </c>
      <c r="L114" s="13">
        <v>505545.214779837</v>
      </c>
      <c r="M114" s="13">
        <v>738.33333333333303</v>
      </c>
      <c r="N114" s="13">
        <v>3322.49999999999</v>
      </c>
      <c r="O114" s="13">
        <v>300</v>
      </c>
      <c r="P114" s="13">
        <v>250</v>
      </c>
      <c r="Q114" s="13">
        <v>4610.8333333333303</v>
      </c>
      <c r="R114" s="13">
        <v>4430</v>
      </c>
      <c r="S114" s="13">
        <v>6066.54257735804</v>
      </c>
      <c r="T114" s="13">
        <v>13290</v>
      </c>
      <c r="U114" s="13">
        <v>15166.3564433951</v>
      </c>
      <c r="V114" s="15">
        <f t="shared" si="5"/>
        <v>62545.214779836999</v>
      </c>
    </row>
    <row r="115" spans="1:22" x14ac:dyDescent="0.2">
      <c r="A115" s="13">
        <v>94</v>
      </c>
      <c r="B115" s="13" t="s">
        <v>101</v>
      </c>
      <c r="C115" s="13">
        <v>2</v>
      </c>
      <c r="D115" s="13" t="s">
        <v>104</v>
      </c>
      <c r="E115" s="13">
        <v>18</v>
      </c>
      <c r="F115" s="13">
        <v>23</v>
      </c>
      <c r="G115" s="13">
        <v>5</v>
      </c>
      <c r="H115" s="13">
        <v>676000</v>
      </c>
      <c r="I115" s="13">
        <v>34553.74</v>
      </c>
      <c r="J115" s="13">
        <v>13883.202216778</v>
      </c>
      <c r="K115" s="13">
        <v>34553.74</v>
      </c>
      <c r="L115" s="13">
        <v>758990.682216777</v>
      </c>
      <c r="M115" s="13">
        <v>1126.6666666666599</v>
      </c>
      <c r="N115" s="13">
        <v>5069.99999999999</v>
      </c>
      <c r="O115" s="13">
        <v>300</v>
      </c>
      <c r="P115" s="13">
        <v>250</v>
      </c>
      <c r="Q115" s="13">
        <v>6746.6666666666597</v>
      </c>
      <c r="R115" s="13">
        <v>6760</v>
      </c>
      <c r="S115" s="13">
        <v>9107.8881866013307</v>
      </c>
      <c r="T115" s="13">
        <v>20280</v>
      </c>
      <c r="U115" s="13">
        <v>22769.720466503299</v>
      </c>
      <c r="V115" s="15">
        <f t="shared" si="5"/>
        <v>82990.682216777001</v>
      </c>
    </row>
    <row r="116" spans="1:22" x14ac:dyDescent="0.2">
      <c r="A116" s="13">
        <v>96</v>
      </c>
      <c r="B116" s="13" t="s">
        <v>101</v>
      </c>
      <c r="C116" s="13">
        <v>2</v>
      </c>
      <c r="D116" s="13" t="s">
        <v>104</v>
      </c>
      <c r="E116" s="13">
        <v>18</v>
      </c>
      <c r="F116" s="13">
        <v>23</v>
      </c>
      <c r="G116" s="13">
        <v>5</v>
      </c>
      <c r="H116" s="13">
        <v>676000</v>
      </c>
      <c r="I116" s="13">
        <v>34553.74</v>
      </c>
      <c r="J116" s="13">
        <v>13883.202216778</v>
      </c>
      <c r="K116" s="13">
        <v>34553.74</v>
      </c>
      <c r="L116" s="13">
        <v>758990.682216777</v>
      </c>
      <c r="M116" s="13">
        <v>1126.6666666666599</v>
      </c>
      <c r="N116" s="13">
        <v>5069.99999999999</v>
      </c>
      <c r="O116" s="13">
        <v>300</v>
      </c>
      <c r="P116" s="13">
        <v>250</v>
      </c>
      <c r="Q116" s="13">
        <v>6746.6666666666597</v>
      </c>
      <c r="R116" s="13">
        <v>6760</v>
      </c>
      <c r="S116" s="13">
        <v>9107.8881866013307</v>
      </c>
      <c r="T116" s="13">
        <v>20280</v>
      </c>
      <c r="U116" s="13">
        <v>22769.720466503299</v>
      </c>
      <c r="V116" s="15">
        <f t="shared" si="5"/>
        <v>82990.682216777001</v>
      </c>
    </row>
    <row r="117" spans="1:22" x14ac:dyDescent="0.2">
      <c r="A117" s="13">
        <v>97</v>
      </c>
      <c r="B117" s="13" t="s">
        <v>101</v>
      </c>
      <c r="C117" s="13">
        <v>2</v>
      </c>
      <c r="D117" s="13" t="s">
        <v>104</v>
      </c>
      <c r="E117" s="13">
        <v>18</v>
      </c>
      <c r="F117" s="13">
        <v>23</v>
      </c>
      <c r="G117" s="13">
        <v>5</v>
      </c>
      <c r="H117" s="13">
        <v>676000</v>
      </c>
      <c r="I117" s="13">
        <v>34553.74</v>
      </c>
      <c r="J117" s="13">
        <v>13883.202216778</v>
      </c>
      <c r="K117" s="13">
        <v>34553.74</v>
      </c>
      <c r="L117" s="13">
        <v>758990.682216777</v>
      </c>
      <c r="M117" s="13">
        <v>1126.6666666666599</v>
      </c>
      <c r="N117" s="13">
        <v>5069.99999999999</v>
      </c>
      <c r="O117" s="13">
        <v>300</v>
      </c>
      <c r="P117" s="13">
        <v>250</v>
      </c>
      <c r="Q117" s="13">
        <v>6746.6666666666597</v>
      </c>
      <c r="R117" s="13">
        <v>6760</v>
      </c>
      <c r="S117" s="13">
        <v>9107.8881866013307</v>
      </c>
      <c r="T117" s="13">
        <v>20280</v>
      </c>
      <c r="U117" s="13">
        <v>22769.720466503299</v>
      </c>
      <c r="V117" s="15">
        <f t="shared" si="5"/>
        <v>82990.682216777001</v>
      </c>
    </row>
    <row r="118" spans="1:22" x14ac:dyDescent="0.2">
      <c r="A118" s="13">
        <v>99</v>
      </c>
      <c r="B118" s="13" t="s">
        <v>101</v>
      </c>
      <c r="C118" s="13">
        <v>2</v>
      </c>
      <c r="D118" s="13" t="s">
        <v>102</v>
      </c>
      <c r="E118" s="13">
        <v>19</v>
      </c>
      <c r="F118" s="13">
        <v>23</v>
      </c>
      <c r="G118" s="13">
        <v>4</v>
      </c>
      <c r="H118" s="13">
        <v>338000</v>
      </c>
      <c r="I118" s="13">
        <v>27642.991999999998</v>
      </c>
      <c r="J118" s="13">
        <v>4447.8784912198998</v>
      </c>
      <c r="K118" s="13">
        <v>27642.991999999998</v>
      </c>
      <c r="L118" s="13">
        <v>397733.86249121901</v>
      </c>
      <c r="M118" s="13">
        <v>450.666666666666</v>
      </c>
      <c r="N118" s="13">
        <v>2027.99999999999</v>
      </c>
      <c r="O118" s="13">
        <v>240</v>
      </c>
      <c r="P118" s="13">
        <v>200</v>
      </c>
      <c r="Q118" s="13">
        <v>2918.6666666666601</v>
      </c>
      <c r="R118" s="13">
        <v>3380</v>
      </c>
      <c r="S118" s="13">
        <v>4772.8063498946303</v>
      </c>
      <c r="T118" s="13">
        <v>10140</v>
      </c>
      <c r="U118" s="13">
        <v>11932.0158747365</v>
      </c>
      <c r="V118" s="15">
        <f t="shared" si="5"/>
        <v>59733.862491219013</v>
      </c>
    </row>
    <row r="119" spans="1:22" x14ac:dyDescent="0.2">
      <c r="A119" s="13">
        <v>101</v>
      </c>
      <c r="B119" s="13" t="s">
        <v>101</v>
      </c>
      <c r="C119" s="13">
        <v>2</v>
      </c>
      <c r="D119" s="13" t="s">
        <v>102</v>
      </c>
      <c r="E119" s="13">
        <v>19</v>
      </c>
      <c r="F119" s="13">
        <v>23</v>
      </c>
      <c r="G119" s="13">
        <v>4</v>
      </c>
      <c r="H119" s="13">
        <v>338000</v>
      </c>
      <c r="I119" s="13">
        <v>27642.991999999998</v>
      </c>
      <c r="J119" s="13">
        <v>4447.8784912198998</v>
      </c>
      <c r="K119" s="13">
        <v>27642.991999999998</v>
      </c>
      <c r="L119" s="13">
        <v>397733.86249121901</v>
      </c>
      <c r="M119" s="13">
        <v>450.666666666666</v>
      </c>
      <c r="N119" s="13">
        <v>2027.99999999999</v>
      </c>
      <c r="O119" s="13">
        <v>240</v>
      </c>
      <c r="P119" s="13">
        <v>200</v>
      </c>
      <c r="Q119" s="13">
        <v>2918.6666666666601</v>
      </c>
      <c r="R119" s="13">
        <v>3380</v>
      </c>
      <c r="S119" s="13">
        <v>4772.8063498946303</v>
      </c>
      <c r="T119" s="13">
        <v>10140</v>
      </c>
      <c r="U119" s="13">
        <v>11932.0158747365</v>
      </c>
      <c r="V119" s="15">
        <f t="shared" si="5"/>
        <v>59733.862491219013</v>
      </c>
    </row>
    <row r="120" spans="1:22" x14ac:dyDescent="0.2">
      <c r="A120" s="13">
        <v>103</v>
      </c>
      <c r="B120" s="13" t="s">
        <v>101</v>
      </c>
      <c r="C120" s="13">
        <v>2</v>
      </c>
      <c r="D120" s="13" t="s">
        <v>102</v>
      </c>
      <c r="E120" s="13">
        <v>19</v>
      </c>
      <c r="F120" s="13">
        <v>23</v>
      </c>
      <c r="G120" s="13">
        <v>4</v>
      </c>
      <c r="H120" s="13">
        <v>338000</v>
      </c>
      <c r="I120" s="13">
        <v>27642.991999999998</v>
      </c>
      <c r="J120" s="13">
        <v>4447.8784912198998</v>
      </c>
      <c r="K120" s="13">
        <v>27642.991999999998</v>
      </c>
      <c r="L120" s="13">
        <v>397733.86249121901</v>
      </c>
      <c r="M120" s="13">
        <v>450.666666666666</v>
      </c>
      <c r="N120" s="13">
        <v>2027.99999999999</v>
      </c>
      <c r="O120" s="13">
        <v>240</v>
      </c>
      <c r="P120" s="13">
        <v>200</v>
      </c>
      <c r="Q120" s="13">
        <v>2918.6666666666601</v>
      </c>
      <c r="R120" s="13">
        <v>3380</v>
      </c>
      <c r="S120" s="13">
        <v>4772.8063498946303</v>
      </c>
      <c r="T120" s="13">
        <v>10140</v>
      </c>
      <c r="U120" s="13">
        <v>11932.0158747365</v>
      </c>
      <c r="V120" s="15">
        <f t="shared" si="5"/>
        <v>59733.862491219013</v>
      </c>
    </row>
    <row r="121" spans="1:22" x14ac:dyDescent="0.2">
      <c r="A121" s="13">
        <v>106</v>
      </c>
      <c r="B121" s="13" t="s">
        <v>101</v>
      </c>
      <c r="C121" s="13">
        <v>2</v>
      </c>
      <c r="D121" s="13" t="s">
        <v>102</v>
      </c>
      <c r="E121" s="13">
        <v>19</v>
      </c>
      <c r="F121" s="13">
        <v>23</v>
      </c>
      <c r="G121" s="13">
        <v>4</v>
      </c>
      <c r="H121" s="13">
        <v>338000</v>
      </c>
      <c r="I121" s="13">
        <v>27642.991999999998</v>
      </c>
      <c r="J121" s="13">
        <v>4447.8784912198998</v>
      </c>
      <c r="K121" s="13">
        <v>27642.991999999998</v>
      </c>
      <c r="L121" s="13">
        <v>397733.86249121901</v>
      </c>
      <c r="M121" s="13">
        <v>450.666666666666</v>
      </c>
      <c r="N121" s="13">
        <v>2027.99999999999</v>
      </c>
      <c r="O121" s="13">
        <v>240</v>
      </c>
      <c r="P121" s="13">
        <v>200</v>
      </c>
      <c r="Q121" s="13">
        <v>2918.6666666666601</v>
      </c>
      <c r="R121" s="13">
        <v>3380</v>
      </c>
      <c r="S121" s="13">
        <v>4772.8063498946303</v>
      </c>
      <c r="T121" s="13">
        <v>10140</v>
      </c>
      <c r="U121" s="13">
        <v>11932.0158747365</v>
      </c>
      <c r="V121" s="15">
        <f t="shared" si="5"/>
        <v>59733.862491219013</v>
      </c>
    </row>
    <row r="122" spans="1:22" x14ac:dyDescent="0.2">
      <c r="A122" s="13">
        <v>109</v>
      </c>
      <c r="B122" s="13" t="s">
        <v>101</v>
      </c>
      <c r="C122" s="13">
        <v>2</v>
      </c>
      <c r="D122" s="13" t="s">
        <v>103</v>
      </c>
      <c r="E122" s="13">
        <v>19</v>
      </c>
      <c r="F122" s="13">
        <v>23</v>
      </c>
      <c r="G122" s="13">
        <v>4</v>
      </c>
      <c r="H122" s="13">
        <v>443000</v>
      </c>
      <c r="I122" s="13">
        <v>27172.733999999899</v>
      </c>
      <c r="J122" s="13">
        <v>6547.7445023945402</v>
      </c>
      <c r="K122" s="13">
        <v>27172.733999999899</v>
      </c>
      <c r="L122" s="13">
        <v>503893.21250239399</v>
      </c>
      <c r="M122" s="13">
        <v>590.66666666666595</v>
      </c>
      <c r="N122" s="13">
        <v>2657.99999999999</v>
      </c>
      <c r="O122" s="13">
        <v>240</v>
      </c>
      <c r="P122" s="13">
        <v>200</v>
      </c>
      <c r="Q122" s="13">
        <v>3688.6666666666601</v>
      </c>
      <c r="R122" s="13">
        <v>4430</v>
      </c>
      <c r="S122" s="13">
        <v>6046.7185500287296</v>
      </c>
      <c r="T122" s="13">
        <v>13290</v>
      </c>
      <c r="U122" s="13">
        <v>15116.796375071801</v>
      </c>
      <c r="V122" s="15">
        <f t="shared" si="5"/>
        <v>60893.212502393988</v>
      </c>
    </row>
    <row r="123" spans="1:22" x14ac:dyDescent="0.2">
      <c r="A123" s="13">
        <v>110</v>
      </c>
      <c r="B123" s="13" t="s">
        <v>101</v>
      </c>
      <c r="C123" s="13">
        <v>2</v>
      </c>
      <c r="D123" s="13" t="s">
        <v>103</v>
      </c>
      <c r="E123" s="13">
        <v>19</v>
      </c>
      <c r="F123" s="13">
        <v>23</v>
      </c>
      <c r="G123" s="13">
        <v>4</v>
      </c>
      <c r="H123" s="13">
        <v>443000</v>
      </c>
      <c r="I123" s="13">
        <v>27172.733999999899</v>
      </c>
      <c r="J123" s="13">
        <v>6547.7445023945402</v>
      </c>
      <c r="K123" s="13">
        <v>27172.733999999899</v>
      </c>
      <c r="L123" s="13">
        <v>503893.21250239399</v>
      </c>
      <c r="M123" s="13">
        <v>590.66666666666595</v>
      </c>
      <c r="N123" s="13">
        <v>2657.99999999999</v>
      </c>
      <c r="O123" s="13">
        <v>240</v>
      </c>
      <c r="P123" s="13">
        <v>200</v>
      </c>
      <c r="Q123" s="13">
        <v>3688.6666666666601</v>
      </c>
      <c r="R123" s="13">
        <v>4430</v>
      </c>
      <c r="S123" s="13">
        <v>6046.7185500287296</v>
      </c>
      <c r="T123" s="13">
        <v>13290</v>
      </c>
      <c r="U123" s="13">
        <v>15116.796375071801</v>
      </c>
      <c r="V123" s="15">
        <f t="shared" si="5"/>
        <v>60893.212502393988</v>
      </c>
    </row>
    <row r="124" spans="1:22" x14ac:dyDescent="0.2">
      <c r="A124" s="13">
        <v>111</v>
      </c>
      <c r="B124" s="13" t="s">
        <v>101</v>
      </c>
      <c r="C124" s="13">
        <v>2</v>
      </c>
      <c r="D124" s="13" t="s">
        <v>103</v>
      </c>
      <c r="E124" s="13">
        <v>19</v>
      </c>
      <c r="F124" s="13">
        <v>23</v>
      </c>
      <c r="G124" s="13">
        <v>4</v>
      </c>
      <c r="H124" s="13">
        <v>443000</v>
      </c>
      <c r="I124" s="13">
        <v>27172.733999999899</v>
      </c>
      <c r="J124" s="13">
        <v>6547.7445023945402</v>
      </c>
      <c r="K124" s="13">
        <v>27172.733999999899</v>
      </c>
      <c r="L124" s="13">
        <v>503893.21250239399</v>
      </c>
      <c r="M124" s="13">
        <v>590.66666666666595</v>
      </c>
      <c r="N124" s="13">
        <v>2657.99999999999</v>
      </c>
      <c r="O124" s="13">
        <v>240</v>
      </c>
      <c r="P124" s="13">
        <v>200</v>
      </c>
      <c r="Q124" s="13">
        <v>3688.6666666666601</v>
      </c>
      <c r="R124" s="13">
        <v>4430</v>
      </c>
      <c r="S124" s="13">
        <v>6046.7185500287296</v>
      </c>
      <c r="T124" s="13">
        <v>13290</v>
      </c>
      <c r="U124" s="13">
        <v>15116.796375071801</v>
      </c>
      <c r="V124" s="15">
        <f t="shared" si="5"/>
        <v>60893.212502393988</v>
      </c>
    </row>
    <row r="125" spans="1:22" x14ac:dyDescent="0.2">
      <c r="A125" s="13">
        <v>112</v>
      </c>
      <c r="B125" s="13" t="s">
        <v>101</v>
      </c>
      <c r="C125" s="13">
        <v>2</v>
      </c>
      <c r="D125" s="13" t="s">
        <v>103</v>
      </c>
      <c r="E125" s="13">
        <v>19</v>
      </c>
      <c r="F125" s="13">
        <v>23</v>
      </c>
      <c r="G125" s="13">
        <v>4</v>
      </c>
      <c r="H125" s="13">
        <v>443000</v>
      </c>
      <c r="I125" s="13">
        <v>27172.733999999899</v>
      </c>
      <c r="J125" s="13">
        <v>6547.7445023945402</v>
      </c>
      <c r="K125" s="13">
        <v>27172.733999999899</v>
      </c>
      <c r="L125" s="13">
        <v>503893.21250239399</v>
      </c>
      <c r="M125" s="13">
        <v>590.66666666666595</v>
      </c>
      <c r="N125" s="13">
        <v>2657.99999999999</v>
      </c>
      <c r="O125" s="13">
        <v>240</v>
      </c>
      <c r="P125" s="13">
        <v>200</v>
      </c>
      <c r="Q125" s="13">
        <v>3688.6666666666601</v>
      </c>
      <c r="R125" s="13">
        <v>4430</v>
      </c>
      <c r="S125" s="13">
        <v>6046.7185500287296</v>
      </c>
      <c r="T125" s="13">
        <v>13290</v>
      </c>
      <c r="U125" s="13">
        <v>15116.796375071801</v>
      </c>
      <c r="V125" s="15">
        <f t="shared" si="5"/>
        <v>60893.212502393988</v>
      </c>
    </row>
    <row r="126" spans="1:22" x14ac:dyDescent="0.2">
      <c r="A126" s="13">
        <v>113</v>
      </c>
      <c r="B126" s="13" t="s">
        <v>101</v>
      </c>
      <c r="C126" s="13">
        <v>2</v>
      </c>
      <c r="D126" s="13" t="s">
        <v>103</v>
      </c>
      <c r="E126" s="13">
        <v>19</v>
      </c>
      <c r="F126" s="13">
        <v>23</v>
      </c>
      <c r="G126" s="13">
        <v>4</v>
      </c>
      <c r="H126" s="13">
        <v>443000</v>
      </c>
      <c r="I126" s="13">
        <v>27172.733999999899</v>
      </c>
      <c r="J126" s="13">
        <v>6547.7445023945402</v>
      </c>
      <c r="K126" s="13">
        <v>27172.733999999899</v>
      </c>
      <c r="L126" s="13">
        <v>503893.21250239399</v>
      </c>
      <c r="M126" s="13">
        <v>590.66666666666595</v>
      </c>
      <c r="N126" s="13">
        <v>2657.99999999999</v>
      </c>
      <c r="O126" s="13">
        <v>240</v>
      </c>
      <c r="P126" s="13">
        <v>200</v>
      </c>
      <c r="Q126" s="13">
        <v>3688.6666666666601</v>
      </c>
      <c r="R126" s="13">
        <v>4430</v>
      </c>
      <c r="S126" s="13">
        <v>6046.7185500287296</v>
      </c>
      <c r="T126" s="13">
        <v>13290</v>
      </c>
      <c r="U126" s="13">
        <v>15116.796375071801</v>
      </c>
      <c r="V126" s="15">
        <f t="shared" si="5"/>
        <v>60893.212502393988</v>
      </c>
    </row>
    <row r="127" spans="1:22" x14ac:dyDescent="0.2">
      <c r="A127" s="13">
        <v>114</v>
      </c>
      <c r="B127" s="13" t="s">
        <v>101</v>
      </c>
      <c r="C127" s="13">
        <v>2</v>
      </c>
      <c r="D127" s="13" t="s">
        <v>103</v>
      </c>
      <c r="E127" s="13">
        <v>19</v>
      </c>
      <c r="F127" s="13">
        <v>23</v>
      </c>
      <c r="G127" s="13">
        <v>4</v>
      </c>
      <c r="H127" s="13">
        <v>443000</v>
      </c>
      <c r="I127" s="13">
        <v>27172.733999999899</v>
      </c>
      <c r="J127" s="13">
        <v>6547.7445023945402</v>
      </c>
      <c r="K127" s="13">
        <v>27172.733999999899</v>
      </c>
      <c r="L127" s="13">
        <v>503893.21250239399</v>
      </c>
      <c r="M127" s="13">
        <v>590.66666666666595</v>
      </c>
      <c r="N127" s="13">
        <v>2657.99999999999</v>
      </c>
      <c r="O127" s="13">
        <v>240</v>
      </c>
      <c r="P127" s="13">
        <v>200</v>
      </c>
      <c r="Q127" s="13">
        <v>3688.6666666666601</v>
      </c>
      <c r="R127" s="13">
        <v>4430</v>
      </c>
      <c r="S127" s="13">
        <v>6046.7185500287296</v>
      </c>
      <c r="T127" s="13">
        <v>13290</v>
      </c>
      <c r="U127" s="13">
        <v>15116.796375071801</v>
      </c>
      <c r="V127" s="15">
        <f t="shared" si="5"/>
        <v>60893.212502393988</v>
      </c>
    </row>
    <row r="128" spans="1:22" x14ac:dyDescent="0.2">
      <c r="A128" s="13">
        <v>119</v>
      </c>
      <c r="B128" s="13" t="s">
        <v>101</v>
      </c>
      <c r="C128" s="13">
        <v>2</v>
      </c>
      <c r="D128" s="13" t="s">
        <v>103</v>
      </c>
      <c r="E128" s="13">
        <v>19</v>
      </c>
      <c r="F128" s="13">
        <v>23</v>
      </c>
      <c r="G128" s="13">
        <v>4</v>
      </c>
      <c r="H128" s="13">
        <v>443000</v>
      </c>
      <c r="I128" s="13">
        <v>27172.733999999899</v>
      </c>
      <c r="J128" s="13">
        <v>6547.7445023945402</v>
      </c>
      <c r="K128" s="13">
        <v>27172.733999999899</v>
      </c>
      <c r="L128" s="13">
        <v>503893.21250239399</v>
      </c>
      <c r="M128" s="13">
        <v>590.66666666666595</v>
      </c>
      <c r="N128" s="13">
        <v>2657.99999999999</v>
      </c>
      <c r="O128" s="13">
        <v>240</v>
      </c>
      <c r="P128" s="13">
        <v>200</v>
      </c>
      <c r="Q128" s="13">
        <v>3688.6666666666601</v>
      </c>
      <c r="R128" s="13">
        <v>4430</v>
      </c>
      <c r="S128" s="13">
        <v>6046.7185500287296</v>
      </c>
      <c r="T128" s="13">
        <v>13290</v>
      </c>
      <c r="U128" s="13">
        <v>15116.796375071801</v>
      </c>
      <c r="V128" s="15">
        <f t="shared" si="5"/>
        <v>60893.212502393988</v>
      </c>
    </row>
    <row r="129" spans="1:22" x14ac:dyDescent="0.2">
      <c r="A129" s="13">
        <v>132</v>
      </c>
      <c r="B129" s="13" t="s">
        <v>101</v>
      </c>
      <c r="C129" s="13">
        <v>2</v>
      </c>
      <c r="D129" s="13" t="s">
        <v>102</v>
      </c>
      <c r="E129" s="13">
        <v>20</v>
      </c>
      <c r="F129" s="13">
        <v>23</v>
      </c>
      <c r="G129" s="13">
        <v>3</v>
      </c>
      <c r="H129" s="13">
        <v>338000</v>
      </c>
      <c r="I129" s="13">
        <v>27642.991999999998</v>
      </c>
      <c r="J129" s="13">
        <v>3330.4514135514601</v>
      </c>
      <c r="K129" s="13">
        <v>27642.991999999998</v>
      </c>
      <c r="L129" s="13">
        <v>396616.43541355099</v>
      </c>
      <c r="M129" s="13">
        <v>338</v>
      </c>
      <c r="N129" s="13">
        <v>1520.99999999999</v>
      </c>
      <c r="O129" s="13">
        <v>180</v>
      </c>
      <c r="P129" s="13">
        <v>150</v>
      </c>
      <c r="Q129" s="13">
        <v>2189</v>
      </c>
      <c r="R129" s="13">
        <v>3380</v>
      </c>
      <c r="S129" s="13">
        <v>4759.3972249626104</v>
      </c>
      <c r="T129" s="13">
        <v>10140</v>
      </c>
      <c r="U129" s="13">
        <v>11898.4930624065</v>
      </c>
      <c r="V129" s="15">
        <f t="shared" ref="V129:V153" si="6">L129-H129</f>
        <v>58616.435413550993</v>
      </c>
    </row>
    <row r="130" spans="1:22" x14ac:dyDescent="0.2">
      <c r="A130" s="13">
        <v>7</v>
      </c>
      <c r="B130" s="13" t="s">
        <v>136</v>
      </c>
      <c r="C130" s="13">
        <v>2</v>
      </c>
      <c r="D130" s="13" t="s">
        <v>103</v>
      </c>
      <c r="E130" s="13">
        <v>16</v>
      </c>
      <c r="F130" s="13">
        <v>23</v>
      </c>
      <c r="G130" s="13">
        <v>7</v>
      </c>
      <c r="H130" s="13">
        <v>405000</v>
      </c>
      <c r="I130" s="13">
        <v>32400</v>
      </c>
      <c r="J130" s="13">
        <v>8209.4329593602797</v>
      </c>
      <c r="K130" s="13">
        <v>28350</v>
      </c>
      <c r="L130" s="13">
        <v>473959.43295936001</v>
      </c>
      <c r="M130" s="13">
        <v>1181.25</v>
      </c>
      <c r="N130" s="13">
        <v>2598.75</v>
      </c>
      <c r="O130" s="13">
        <v>350</v>
      </c>
      <c r="P130" s="13">
        <v>280</v>
      </c>
      <c r="Q130" s="13">
        <v>4410</v>
      </c>
      <c r="R130" s="13">
        <v>4050</v>
      </c>
      <c r="S130" s="13">
        <v>4739.5943295936004</v>
      </c>
      <c r="T130" s="13">
        <v>12150</v>
      </c>
      <c r="U130" s="13">
        <v>14218.7829887808</v>
      </c>
      <c r="V130" s="15">
        <f t="shared" si="6"/>
        <v>68959.432959360012</v>
      </c>
    </row>
    <row r="131" spans="1:22" x14ac:dyDescent="0.2">
      <c r="A131" s="13">
        <v>8</v>
      </c>
      <c r="B131" s="13" t="s">
        <v>136</v>
      </c>
      <c r="C131" s="13">
        <v>2</v>
      </c>
      <c r="D131" s="13" t="s">
        <v>103</v>
      </c>
      <c r="E131" s="13">
        <v>16</v>
      </c>
      <c r="F131" s="13">
        <v>23</v>
      </c>
      <c r="G131" s="13">
        <v>7</v>
      </c>
      <c r="H131" s="13">
        <v>405000</v>
      </c>
      <c r="I131" s="13">
        <v>32400</v>
      </c>
      <c r="J131" s="13">
        <v>8209.4329593602797</v>
      </c>
      <c r="K131" s="13">
        <v>28350</v>
      </c>
      <c r="L131" s="13">
        <v>473959.43295936001</v>
      </c>
      <c r="M131" s="13">
        <v>1181.25</v>
      </c>
      <c r="N131" s="13">
        <v>2598.75</v>
      </c>
      <c r="O131" s="13">
        <v>350</v>
      </c>
      <c r="P131" s="13">
        <v>280</v>
      </c>
      <c r="Q131" s="13">
        <v>4410</v>
      </c>
      <c r="R131" s="13">
        <v>4050</v>
      </c>
      <c r="S131" s="13">
        <v>4739.5943295936004</v>
      </c>
      <c r="T131" s="13">
        <v>12150</v>
      </c>
      <c r="U131" s="13">
        <v>14218.7829887808</v>
      </c>
      <c r="V131" s="15">
        <f t="shared" si="6"/>
        <v>68959.432959360012</v>
      </c>
    </row>
    <row r="132" spans="1:22" x14ac:dyDescent="0.2">
      <c r="A132" s="13">
        <v>9</v>
      </c>
      <c r="B132" s="13" t="s">
        <v>136</v>
      </c>
      <c r="C132" s="13">
        <v>2</v>
      </c>
      <c r="D132" s="13" t="s">
        <v>103</v>
      </c>
      <c r="E132" s="13">
        <v>16</v>
      </c>
      <c r="F132" s="13">
        <v>23</v>
      </c>
      <c r="G132" s="13">
        <v>7</v>
      </c>
      <c r="H132" s="13">
        <v>405000</v>
      </c>
      <c r="I132" s="13">
        <v>32400</v>
      </c>
      <c r="J132" s="13">
        <v>8209.4329593602797</v>
      </c>
      <c r="K132" s="13">
        <v>28350</v>
      </c>
      <c r="L132" s="13">
        <v>473959.43295936001</v>
      </c>
      <c r="M132" s="13">
        <v>1181.25</v>
      </c>
      <c r="N132" s="13">
        <v>2598.75</v>
      </c>
      <c r="O132" s="13">
        <v>350</v>
      </c>
      <c r="P132" s="13">
        <v>280</v>
      </c>
      <c r="Q132" s="13">
        <v>4410</v>
      </c>
      <c r="R132" s="13">
        <v>4050</v>
      </c>
      <c r="S132" s="13">
        <v>4739.5943295936004</v>
      </c>
      <c r="T132" s="13">
        <v>12150</v>
      </c>
      <c r="U132" s="13">
        <v>14218.7829887808</v>
      </c>
      <c r="V132" s="15">
        <f t="shared" si="6"/>
        <v>68959.432959360012</v>
      </c>
    </row>
    <row r="133" spans="1:22" x14ac:dyDescent="0.2">
      <c r="A133" s="13">
        <v>12</v>
      </c>
      <c r="B133" s="13" t="s">
        <v>136</v>
      </c>
      <c r="C133" s="13">
        <v>2</v>
      </c>
      <c r="D133" s="13" t="s">
        <v>104</v>
      </c>
      <c r="E133" s="13">
        <v>16</v>
      </c>
      <c r="F133" s="13">
        <v>23</v>
      </c>
      <c r="G133" s="13">
        <v>7</v>
      </c>
      <c r="H133" s="13">
        <v>630000</v>
      </c>
      <c r="I133" s="13">
        <v>37800</v>
      </c>
      <c r="J133" s="13">
        <v>14579.759454704799</v>
      </c>
      <c r="K133" s="13">
        <v>37800</v>
      </c>
      <c r="L133" s="13">
        <v>720179.75945470401</v>
      </c>
      <c r="M133" s="13">
        <v>1837.5</v>
      </c>
      <c r="N133" s="13">
        <v>4042.5</v>
      </c>
      <c r="O133" s="13">
        <v>350</v>
      </c>
      <c r="P133" s="13">
        <v>280</v>
      </c>
      <c r="Q133" s="13">
        <v>6510</v>
      </c>
      <c r="R133" s="13">
        <v>6300</v>
      </c>
      <c r="S133" s="13">
        <v>7201.7975945470398</v>
      </c>
      <c r="T133" s="13">
        <v>18900</v>
      </c>
      <c r="U133" s="13">
        <v>21605.392783641099</v>
      </c>
      <c r="V133" s="15">
        <f t="shared" si="6"/>
        <v>90179.759454704006</v>
      </c>
    </row>
    <row r="134" spans="1:22" x14ac:dyDescent="0.2">
      <c r="A134" s="13">
        <v>13</v>
      </c>
      <c r="B134" s="13" t="s">
        <v>136</v>
      </c>
      <c r="C134" s="13">
        <v>2</v>
      </c>
      <c r="D134" s="13" t="s">
        <v>102</v>
      </c>
      <c r="E134" s="13">
        <v>17</v>
      </c>
      <c r="F134" s="13">
        <v>23</v>
      </c>
      <c r="G134" s="13">
        <v>6</v>
      </c>
      <c r="H134" s="13">
        <v>305000</v>
      </c>
      <c r="I134" s="13">
        <v>30500</v>
      </c>
      <c r="J134" s="13">
        <v>4541.1927353126903</v>
      </c>
      <c r="K134" s="13">
        <v>27450</v>
      </c>
      <c r="L134" s="13">
        <v>367491.19273531198</v>
      </c>
      <c r="M134" s="13">
        <v>762.5</v>
      </c>
      <c r="N134" s="13">
        <v>1677.5</v>
      </c>
      <c r="O134" s="13">
        <v>300</v>
      </c>
      <c r="P134" s="13">
        <v>240</v>
      </c>
      <c r="Q134" s="13">
        <v>2980</v>
      </c>
      <c r="R134" s="13">
        <v>3050</v>
      </c>
      <c r="S134" s="13">
        <v>3674.9119273531201</v>
      </c>
      <c r="T134" s="13">
        <v>9150</v>
      </c>
      <c r="U134" s="13">
        <v>11024.735782059301</v>
      </c>
      <c r="V134" s="15">
        <f t="shared" si="6"/>
        <v>62491.192735311983</v>
      </c>
    </row>
    <row r="135" spans="1:22" x14ac:dyDescent="0.2">
      <c r="A135" s="13">
        <v>14</v>
      </c>
      <c r="B135" s="13" t="s">
        <v>136</v>
      </c>
      <c r="C135" s="13">
        <v>2</v>
      </c>
      <c r="D135" s="13" t="s">
        <v>102</v>
      </c>
      <c r="E135" s="13">
        <v>17</v>
      </c>
      <c r="F135" s="13">
        <v>23</v>
      </c>
      <c r="G135" s="13">
        <v>6</v>
      </c>
      <c r="H135" s="13">
        <v>305000</v>
      </c>
      <c r="I135" s="13">
        <v>30500</v>
      </c>
      <c r="J135" s="13">
        <v>4541.1927353126903</v>
      </c>
      <c r="K135" s="13">
        <v>27450</v>
      </c>
      <c r="L135" s="13">
        <v>367491.19273531198</v>
      </c>
      <c r="M135" s="13">
        <v>762.5</v>
      </c>
      <c r="N135" s="13">
        <v>1677.5</v>
      </c>
      <c r="O135" s="13">
        <v>300</v>
      </c>
      <c r="P135" s="13">
        <v>240</v>
      </c>
      <c r="Q135" s="13">
        <v>2980</v>
      </c>
      <c r="R135" s="13">
        <v>3050</v>
      </c>
      <c r="S135" s="13">
        <v>3674.9119273531201</v>
      </c>
      <c r="T135" s="13">
        <v>9150</v>
      </c>
      <c r="U135" s="13">
        <v>11024.735782059301</v>
      </c>
      <c r="V135" s="15">
        <f t="shared" si="6"/>
        <v>62491.192735311983</v>
      </c>
    </row>
    <row r="136" spans="1:22" x14ac:dyDescent="0.2">
      <c r="A136" s="13">
        <v>15</v>
      </c>
      <c r="B136" s="13" t="s">
        <v>136</v>
      </c>
      <c r="C136" s="13">
        <v>2</v>
      </c>
      <c r="D136" s="13" t="s">
        <v>102</v>
      </c>
      <c r="E136" s="13">
        <v>17</v>
      </c>
      <c r="F136" s="13">
        <v>23</v>
      </c>
      <c r="G136" s="13">
        <v>6</v>
      </c>
      <c r="H136" s="13">
        <v>305000</v>
      </c>
      <c r="I136" s="13">
        <v>30500</v>
      </c>
      <c r="J136" s="13">
        <v>4541.1927353126903</v>
      </c>
      <c r="K136" s="13">
        <v>27450</v>
      </c>
      <c r="L136" s="13">
        <v>367491.19273531198</v>
      </c>
      <c r="M136" s="13">
        <v>762.5</v>
      </c>
      <c r="N136" s="13">
        <v>1677.5</v>
      </c>
      <c r="O136" s="13">
        <v>300</v>
      </c>
      <c r="P136" s="13">
        <v>240</v>
      </c>
      <c r="Q136" s="13">
        <v>2980</v>
      </c>
      <c r="R136" s="13">
        <v>3050</v>
      </c>
      <c r="S136" s="13">
        <v>3674.9119273531201</v>
      </c>
      <c r="T136" s="13">
        <v>9150</v>
      </c>
      <c r="U136" s="13">
        <v>11024.735782059301</v>
      </c>
      <c r="V136" s="15">
        <f t="shared" si="6"/>
        <v>62491.192735311983</v>
      </c>
    </row>
    <row r="137" spans="1:22" x14ac:dyDescent="0.2">
      <c r="A137" s="13">
        <v>18</v>
      </c>
      <c r="B137" s="13" t="s">
        <v>136</v>
      </c>
      <c r="C137" s="13">
        <v>2</v>
      </c>
      <c r="D137" s="13" t="s">
        <v>102</v>
      </c>
      <c r="E137" s="13">
        <v>17</v>
      </c>
      <c r="F137" s="13">
        <v>23</v>
      </c>
      <c r="G137" s="13">
        <v>6</v>
      </c>
      <c r="H137" s="13">
        <v>305000</v>
      </c>
      <c r="I137" s="13">
        <v>30500</v>
      </c>
      <c r="J137" s="13">
        <v>4541.1927353126903</v>
      </c>
      <c r="K137" s="13">
        <v>27450</v>
      </c>
      <c r="L137" s="13">
        <v>367491.19273531198</v>
      </c>
      <c r="M137" s="13">
        <v>762.5</v>
      </c>
      <c r="N137" s="13">
        <v>1677.5</v>
      </c>
      <c r="O137" s="13">
        <v>300</v>
      </c>
      <c r="P137" s="13">
        <v>240</v>
      </c>
      <c r="Q137" s="13">
        <v>2980</v>
      </c>
      <c r="R137" s="13">
        <v>3050</v>
      </c>
      <c r="S137" s="13">
        <v>3674.9119273531201</v>
      </c>
      <c r="T137" s="13">
        <v>9150</v>
      </c>
      <c r="U137" s="13">
        <v>11024.735782059301</v>
      </c>
      <c r="V137" s="15">
        <f t="shared" si="6"/>
        <v>62491.192735311983</v>
      </c>
    </row>
    <row r="138" spans="1:22" x14ac:dyDescent="0.2">
      <c r="A138" s="13">
        <v>19</v>
      </c>
      <c r="B138" s="13" t="s">
        <v>136</v>
      </c>
      <c r="C138" s="13">
        <v>2</v>
      </c>
      <c r="D138" s="13" t="s">
        <v>103</v>
      </c>
      <c r="E138" s="13">
        <v>17</v>
      </c>
      <c r="F138" s="13">
        <v>23</v>
      </c>
      <c r="G138" s="13">
        <v>6</v>
      </c>
      <c r="H138" s="13">
        <v>405000</v>
      </c>
      <c r="I138" s="13">
        <v>32400</v>
      </c>
      <c r="J138" s="13">
        <v>7026.5464748600298</v>
      </c>
      <c r="K138" s="13">
        <v>28350</v>
      </c>
      <c r="L138" s="13">
        <v>472776.54647485999</v>
      </c>
      <c r="M138" s="13">
        <v>1012.5</v>
      </c>
      <c r="N138" s="13">
        <v>2227.5</v>
      </c>
      <c r="O138" s="13">
        <v>300</v>
      </c>
      <c r="P138" s="13">
        <v>240</v>
      </c>
      <c r="Q138" s="13">
        <v>3780</v>
      </c>
      <c r="R138" s="13">
        <v>4050</v>
      </c>
      <c r="S138" s="13">
        <v>4727.7654647485997</v>
      </c>
      <c r="T138" s="13">
        <v>12150</v>
      </c>
      <c r="U138" s="13">
        <v>14183.296394245799</v>
      </c>
      <c r="V138" s="15">
        <f t="shared" si="6"/>
        <v>67776.546474859992</v>
      </c>
    </row>
    <row r="139" spans="1:22" x14ac:dyDescent="0.2">
      <c r="A139" s="13">
        <v>24</v>
      </c>
      <c r="B139" s="13" t="s">
        <v>136</v>
      </c>
      <c r="C139" s="13">
        <v>2</v>
      </c>
      <c r="D139" s="13" t="s">
        <v>104</v>
      </c>
      <c r="E139" s="13">
        <v>17</v>
      </c>
      <c r="F139" s="13">
        <v>23</v>
      </c>
      <c r="G139" s="13">
        <v>6</v>
      </c>
      <c r="H139" s="13">
        <v>630000</v>
      </c>
      <c r="I139" s="13">
        <v>37800</v>
      </c>
      <c r="J139" s="13">
        <v>12476.458712690899</v>
      </c>
      <c r="K139" s="13">
        <v>37800</v>
      </c>
      <c r="L139" s="13">
        <v>718076.45871269098</v>
      </c>
      <c r="M139" s="13">
        <v>1575</v>
      </c>
      <c r="N139" s="13">
        <v>3465</v>
      </c>
      <c r="O139" s="13">
        <v>300</v>
      </c>
      <c r="P139" s="13">
        <v>240</v>
      </c>
      <c r="Q139" s="13">
        <v>5580</v>
      </c>
      <c r="R139" s="13">
        <v>6300</v>
      </c>
      <c r="S139" s="13">
        <v>7180.7645871269096</v>
      </c>
      <c r="T139" s="13">
        <v>18900</v>
      </c>
      <c r="U139" s="13">
        <v>21542.293761380701</v>
      </c>
      <c r="V139" s="15">
        <f t="shared" si="6"/>
        <v>88076.458712690976</v>
      </c>
    </row>
    <row r="140" spans="1:22" x14ac:dyDescent="0.2">
      <c r="A140" s="13">
        <v>28</v>
      </c>
      <c r="B140" s="13" t="s">
        <v>136</v>
      </c>
      <c r="C140" s="13">
        <v>2</v>
      </c>
      <c r="D140" s="13" t="s">
        <v>102</v>
      </c>
      <c r="E140" s="13">
        <v>18</v>
      </c>
      <c r="F140" s="13">
        <v>23</v>
      </c>
      <c r="G140" s="13">
        <v>5</v>
      </c>
      <c r="H140" s="13">
        <v>305000</v>
      </c>
      <c r="I140" s="13">
        <v>30500</v>
      </c>
      <c r="J140" s="13">
        <v>3779.6587965205999</v>
      </c>
      <c r="K140" s="13">
        <v>27450</v>
      </c>
      <c r="L140" s="13">
        <v>366729.65879651997</v>
      </c>
      <c r="M140" s="13">
        <v>635.41666666666595</v>
      </c>
      <c r="N140" s="13">
        <v>1397.9166666666599</v>
      </c>
      <c r="O140" s="13">
        <v>250</v>
      </c>
      <c r="P140" s="13">
        <v>200</v>
      </c>
      <c r="Q140" s="13">
        <v>2483.3333333333298</v>
      </c>
      <c r="R140" s="13">
        <v>3050</v>
      </c>
      <c r="S140" s="13">
        <v>3667.2965879652002</v>
      </c>
      <c r="T140" s="13">
        <v>9150</v>
      </c>
      <c r="U140" s="13">
        <v>11001.8897638956</v>
      </c>
      <c r="V140" s="15">
        <f t="shared" si="6"/>
        <v>61729.658796519972</v>
      </c>
    </row>
    <row r="141" spans="1:22" x14ac:dyDescent="0.2">
      <c r="A141" s="13">
        <v>29</v>
      </c>
      <c r="B141" s="13" t="s">
        <v>136</v>
      </c>
      <c r="C141" s="13">
        <v>2</v>
      </c>
      <c r="D141" s="13" t="s">
        <v>102</v>
      </c>
      <c r="E141" s="13">
        <v>18</v>
      </c>
      <c r="F141" s="13">
        <v>23</v>
      </c>
      <c r="G141" s="13">
        <v>5</v>
      </c>
      <c r="H141" s="13">
        <v>305000</v>
      </c>
      <c r="I141" s="13">
        <v>30500</v>
      </c>
      <c r="J141" s="13">
        <v>3779.6587965205999</v>
      </c>
      <c r="K141" s="13">
        <v>27450</v>
      </c>
      <c r="L141" s="13">
        <v>366729.65879651997</v>
      </c>
      <c r="M141" s="13">
        <v>635.41666666666595</v>
      </c>
      <c r="N141" s="13">
        <v>1397.9166666666599</v>
      </c>
      <c r="O141" s="13">
        <v>250</v>
      </c>
      <c r="P141" s="13">
        <v>200</v>
      </c>
      <c r="Q141" s="13">
        <v>2483.3333333333298</v>
      </c>
      <c r="R141" s="13">
        <v>3050</v>
      </c>
      <c r="S141" s="13">
        <v>3667.2965879652002</v>
      </c>
      <c r="T141" s="13">
        <v>9150</v>
      </c>
      <c r="U141" s="13">
        <v>11001.8897638956</v>
      </c>
      <c r="V141" s="15">
        <f t="shared" si="6"/>
        <v>61729.658796519972</v>
      </c>
    </row>
    <row r="142" spans="1:22" x14ac:dyDescent="0.2">
      <c r="A142" s="13">
        <v>31</v>
      </c>
      <c r="B142" s="13" t="s">
        <v>136</v>
      </c>
      <c r="C142" s="13">
        <v>2</v>
      </c>
      <c r="D142" s="13" t="s">
        <v>102</v>
      </c>
      <c r="E142" s="13">
        <v>18</v>
      </c>
      <c r="F142" s="13">
        <v>23</v>
      </c>
      <c r="G142" s="13">
        <v>5</v>
      </c>
      <c r="H142" s="13">
        <v>305000</v>
      </c>
      <c r="I142" s="13">
        <v>30500</v>
      </c>
      <c r="J142" s="13">
        <v>3779.6587965205999</v>
      </c>
      <c r="K142" s="13">
        <v>27450</v>
      </c>
      <c r="L142" s="13">
        <v>366729.65879651997</v>
      </c>
      <c r="M142" s="13">
        <v>635.41666666666595</v>
      </c>
      <c r="N142" s="13">
        <v>1397.9166666666599</v>
      </c>
      <c r="O142" s="13">
        <v>250</v>
      </c>
      <c r="P142" s="13">
        <v>200</v>
      </c>
      <c r="Q142" s="13">
        <v>2483.3333333333298</v>
      </c>
      <c r="R142" s="13">
        <v>3050</v>
      </c>
      <c r="S142" s="13">
        <v>3667.2965879652002</v>
      </c>
      <c r="T142" s="13">
        <v>9150</v>
      </c>
      <c r="U142" s="13">
        <v>11001.8897638956</v>
      </c>
      <c r="V142" s="15">
        <f t="shared" si="6"/>
        <v>61729.658796519972</v>
      </c>
    </row>
    <row r="143" spans="1:22" x14ac:dyDescent="0.2">
      <c r="A143" s="13">
        <v>33</v>
      </c>
      <c r="B143" s="13" t="s">
        <v>136</v>
      </c>
      <c r="C143" s="13">
        <v>2</v>
      </c>
      <c r="D143" s="13" t="s">
        <v>102</v>
      </c>
      <c r="E143" s="13">
        <v>18</v>
      </c>
      <c r="F143" s="13">
        <v>23</v>
      </c>
      <c r="G143" s="13">
        <v>5</v>
      </c>
      <c r="H143" s="13">
        <v>305000</v>
      </c>
      <c r="I143" s="13">
        <v>30500</v>
      </c>
      <c r="J143" s="13">
        <v>3779.6587965205999</v>
      </c>
      <c r="K143" s="13">
        <v>27450</v>
      </c>
      <c r="L143" s="13">
        <v>366729.65879651997</v>
      </c>
      <c r="M143" s="13">
        <v>635.41666666666595</v>
      </c>
      <c r="N143" s="13">
        <v>1397.9166666666599</v>
      </c>
      <c r="O143" s="13">
        <v>250</v>
      </c>
      <c r="P143" s="13">
        <v>200</v>
      </c>
      <c r="Q143" s="13">
        <v>2483.3333333333298</v>
      </c>
      <c r="R143" s="13">
        <v>3050</v>
      </c>
      <c r="S143" s="13">
        <v>3667.2965879652002</v>
      </c>
      <c r="T143" s="13">
        <v>9150</v>
      </c>
      <c r="U143" s="13">
        <v>11001.8897638956</v>
      </c>
      <c r="V143" s="15">
        <f t="shared" si="6"/>
        <v>61729.658796519972</v>
      </c>
    </row>
    <row r="144" spans="1:22" x14ac:dyDescent="0.2">
      <c r="A144" s="13">
        <v>34</v>
      </c>
      <c r="B144" s="13" t="s">
        <v>136</v>
      </c>
      <c r="C144" s="13">
        <v>2</v>
      </c>
      <c r="D144" s="13" t="s">
        <v>102</v>
      </c>
      <c r="E144" s="13">
        <v>18</v>
      </c>
      <c r="F144" s="13">
        <v>23</v>
      </c>
      <c r="G144" s="13">
        <v>5</v>
      </c>
      <c r="H144" s="13">
        <v>305000</v>
      </c>
      <c r="I144" s="13">
        <v>30500</v>
      </c>
      <c r="J144" s="13">
        <v>3779.6587965205999</v>
      </c>
      <c r="K144" s="13">
        <v>27450</v>
      </c>
      <c r="L144" s="13">
        <v>366729.65879651997</v>
      </c>
      <c r="M144" s="13">
        <v>635.41666666666595</v>
      </c>
      <c r="N144" s="13">
        <v>1397.9166666666599</v>
      </c>
      <c r="O144" s="13">
        <v>250</v>
      </c>
      <c r="P144" s="13">
        <v>200</v>
      </c>
      <c r="Q144" s="13">
        <v>2483.3333333333298</v>
      </c>
      <c r="R144" s="13">
        <v>3050</v>
      </c>
      <c r="S144" s="13">
        <v>3667.2965879652002</v>
      </c>
      <c r="T144" s="13">
        <v>9150</v>
      </c>
      <c r="U144" s="13">
        <v>11001.8897638956</v>
      </c>
      <c r="V144" s="15">
        <f t="shared" si="6"/>
        <v>61729.658796519972</v>
      </c>
    </row>
    <row r="145" spans="1:22" x14ac:dyDescent="0.2">
      <c r="A145" s="13">
        <v>37</v>
      </c>
      <c r="B145" s="13" t="s">
        <v>136</v>
      </c>
      <c r="C145" s="13">
        <v>2</v>
      </c>
      <c r="D145" s="13" t="s">
        <v>103</v>
      </c>
      <c r="E145" s="13">
        <v>18</v>
      </c>
      <c r="F145" s="13">
        <v>23</v>
      </c>
      <c r="G145" s="13">
        <v>5</v>
      </c>
      <c r="H145" s="13">
        <v>405000</v>
      </c>
      <c r="I145" s="13">
        <v>32400</v>
      </c>
      <c r="J145" s="13">
        <v>5847.0462161416699</v>
      </c>
      <c r="K145" s="13">
        <v>28350</v>
      </c>
      <c r="L145" s="13">
        <v>471597.04621614103</v>
      </c>
      <c r="M145" s="13">
        <v>843.75</v>
      </c>
      <c r="N145" s="13">
        <v>1856.25</v>
      </c>
      <c r="O145" s="13">
        <v>250</v>
      </c>
      <c r="P145" s="13">
        <v>200</v>
      </c>
      <c r="Q145" s="13">
        <v>3150</v>
      </c>
      <c r="R145" s="13">
        <v>4050</v>
      </c>
      <c r="S145" s="13">
        <v>4715.9704621614101</v>
      </c>
      <c r="T145" s="13">
        <v>12150</v>
      </c>
      <c r="U145" s="13">
        <v>14147.9113864842</v>
      </c>
      <c r="V145" s="15">
        <f t="shared" si="6"/>
        <v>66597.046216141025</v>
      </c>
    </row>
    <row r="146" spans="1:22" x14ac:dyDescent="0.2">
      <c r="A146" s="13">
        <v>40</v>
      </c>
      <c r="B146" s="13" t="s">
        <v>136</v>
      </c>
      <c r="C146" s="13">
        <v>2</v>
      </c>
      <c r="D146" s="13" t="s">
        <v>103</v>
      </c>
      <c r="E146" s="13">
        <v>18</v>
      </c>
      <c r="F146" s="13">
        <v>23</v>
      </c>
      <c r="G146" s="13">
        <v>5</v>
      </c>
      <c r="H146" s="13">
        <v>405000</v>
      </c>
      <c r="I146" s="13">
        <v>32400</v>
      </c>
      <c r="J146" s="13">
        <v>5847.0462161416699</v>
      </c>
      <c r="K146" s="13">
        <v>28350</v>
      </c>
      <c r="L146" s="13">
        <v>471597.04621614103</v>
      </c>
      <c r="M146" s="13">
        <v>843.75</v>
      </c>
      <c r="N146" s="13">
        <v>1856.25</v>
      </c>
      <c r="O146" s="13">
        <v>250</v>
      </c>
      <c r="P146" s="13">
        <v>200</v>
      </c>
      <c r="Q146" s="13">
        <v>3150</v>
      </c>
      <c r="R146" s="13">
        <v>4050</v>
      </c>
      <c r="S146" s="13">
        <v>4715.9704621614101</v>
      </c>
      <c r="T146" s="13">
        <v>12150</v>
      </c>
      <c r="U146" s="13">
        <v>14147.9113864842</v>
      </c>
      <c r="V146" s="15">
        <f t="shared" si="6"/>
        <v>66597.046216141025</v>
      </c>
    </row>
    <row r="147" spans="1:22" x14ac:dyDescent="0.2">
      <c r="A147" s="13">
        <v>44</v>
      </c>
      <c r="B147" s="13" t="s">
        <v>136</v>
      </c>
      <c r="C147" s="13">
        <v>2</v>
      </c>
      <c r="D147" s="13" t="s">
        <v>103</v>
      </c>
      <c r="E147" s="13">
        <v>18</v>
      </c>
      <c r="F147" s="13">
        <v>23</v>
      </c>
      <c r="G147" s="13">
        <v>5</v>
      </c>
      <c r="H147" s="13">
        <v>405000</v>
      </c>
      <c r="I147" s="13">
        <v>32400</v>
      </c>
      <c r="J147" s="13">
        <v>5847.0462161416699</v>
      </c>
      <c r="K147" s="13">
        <v>28350</v>
      </c>
      <c r="L147" s="13">
        <v>471597.04621614103</v>
      </c>
      <c r="M147" s="13">
        <v>843.75</v>
      </c>
      <c r="N147" s="13">
        <v>1856.25</v>
      </c>
      <c r="O147" s="13">
        <v>250</v>
      </c>
      <c r="P147" s="13">
        <v>200</v>
      </c>
      <c r="Q147" s="13">
        <v>3150</v>
      </c>
      <c r="R147" s="13">
        <v>4050</v>
      </c>
      <c r="S147" s="13">
        <v>4715.9704621614101</v>
      </c>
      <c r="T147" s="13">
        <v>12150</v>
      </c>
      <c r="U147" s="13">
        <v>14147.9113864842</v>
      </c>
      <c r="V147" s="15">
        <f t="shared" si="6"/>
        <v>66597.046216141025</v>
      </c>
    </row>
    <row r="148" spans="1:22" x14ac:dyDescent="0.2">
      <c r="A148" s="13">
        <v>46</v>
      </c>
      <c r="B148" s="13" t="s">
        <v>136</v>
      </c>
      <c r="C148" s="13">
        <v>2</v>
      </c>
      <c r="D148" s="13" t="s">
        <v>103</v>
      </c>
      <c r="E148" s="13">
        <v>18</v>
      </c>
      <c r="F148" s="13">
        <v>23</v>
      </c>
      <c r="G148" s="13">
        <v>5</v>
      </c>
      <c r="H148" s="13">
        <v>405000</v>
      </c>
      <c r="I148" s="13">
        <v>32400</v>
      </c>
      <c r="J148" s="13">
        <v>5847.0462161416699</v>
      </c>
      <c r="K148" s="13">
        <v>28350</v>
      </c>
      <c r="L148" s="13">
        <v>471597.04621614103</v>
      </c>
      <c r="M148" s="13">
        <v>843.75</v>
      </c>
      <c r="N148" s="13">
        <v>1856.25</v>
      </c>
      <c r="O148" s="13">
        <v>250</v>
      </c>
      <c r="P148" s="13">
        <v>200</v>
      </c>
      <c r="Q148" s="13">
        <v>3150</v>
      </c>
      <c r="R148" s="13">
        <v>4050</v>
      </c>
      <c r="S148" s="13">
        <v>4715.9704621614101</v>
      </c>
      <c r="T148" s="13">
        <v>12150</v>
      </c>
      <c r="U148" s="13">
        <v>14147.9113864842</v>
      </c>
      <c r="V148" s="15">
        <f t="shared" si="6"/>
        <v>66597.046216141025</v>
      </c>
    </row>
    <row r="149" spans="1:22" x14ac:dyDescent="0.2">
      <c r="A149" s="13">
        <v>50</v>
      </c>
      <c r="B149" s="13" t="s">
        <v>136</v>
      </c>
      <c r="C149" s="13">
        <v>2</v>
      </c>
      <c r="D149" s="13" t="s">
        <v>102</v>
      </c>
      <c r="E149" s="13">
        <v>19</v>
      </c>
      <c r="F149" s="13">
        <v>23</v>
      </c>
      <c r="G149" s="13">
        <v>4</v>
      </c>
      <c r="H149" s="13">
        <v>305000</v>
      </c>
      <c r="I149" s="13">
        <v>30500</v>
      </c>
      <c r="J149" s="13">
        <v>3019.9983852380701</v>
      </c>
      <c r="K149" s="13">
        <v>27450</v>
      </c>
      <c r="L149" s="13">
        <v>365969.998385238</v>
      </c>
      <c r="M149" s="13">
        <v>508.33333333333297</v>
      </c>
      <c r="N149" s="13">
        <v>1118.3333333333301</v>
      </c>
      <c r="O149" s="13">
        <v>200</v>
      </c>
      <c r="P149" s="13">
        <v>160</v>
      </c>
      <c r="Q149" s="13">
        <v>1986.6666666666599</v>
      </c>
      <c r="R149" s="13">
        <v>3050</v>
      </c>
      <c r="S149" s="13">
        <v>3659.6999838523798</v>
      </c>
      <c r="T149" s="13">
        <v>9150</v>
      </c>
      <c r="U149" s="13">
        <v>10979.0999515571</v>
      </c>
      <c r="V149" s="15">
        <f t="shared" si="6"/>
        <v>60969.998385237996</v>
      </c>
    </row>
    <row r="150" spans="1:22" x14ac:dyDescent="0.2">
      <c r="A150" s="13">
        <v>54</v>
      </c>
      <c r="B150" s="13" t="s">
        <v>136</v>
      </c>
      <c r="C150" s="13">
        <v>2</v>
      </c>
      <c r="D150" s="13" t="s">
        <v>102</v>
      </c>
      <c r="E150" s="13">
        <v>19</v>
      </c>
      <c r="F150" s="13">
        <v>23</v>
      </c>
      <c r="G150" s="13">
        <v>4</v>
      </c>
      <c r="H150" s="13">
        <v>305000</v>
      </c>
      <c r="I150" s="13">
        <v>30500</v>
      </c>
      <c r="J150" s="13">
        <v>3019.9983852380701</v>
      </c>
      <c r="K150" s="13">
        <v>27450</v>
      </c>
      <c r="L150" s="13">
        <v>365969.998385238</v>
      </c>
      <c r="M150" s="13">
        <v>508.33333333333297</v>
      </c>
      <c r="N150" s="13">
        <v>1118.3333333333301</v>
      </c>
      <c r="O150" s="13">
        <v>200</v>
      </c>
      <c r="P150" s="13">
        <v>160</v>
      </c>
      <c r="Q150" s="13">
        <v>1986.6666666666599</v>
      </c>
      <c r="R150" s="13">
        <v>3050</v>
      </c>
      <c r="S150" s="13">
        <v>3659.6999838523798</v>
      </c>
      <c r="T150" s="13">
        <v>9150</v>
      </c>
      <c r="U150" s="13">
        <v>10979.0999515571</v>
      </c>
      <c r="V150" s="15">
        <f t="shared" si="6"/>
        <v>60969.998385237996</v>
      </c>
    </row>
    <row r="151" spans="1:22" x14ac:dyDescent="0.2">
      <c r="A151" s="13">
        <v>55</v>
      </c>
      <c r="B151" s="13" t="s">
        <v>136</v>
      </c>
      <c r="C151" s="13">
        <v>2</v>
      </c>
      <c r="D151" s="13" t="s">
        <v>102</v>
      </c>
      <c r="E151" s="13">
        <v>19</v>
      </c>
      <c r="F151" s="13">
        <v>23</v>
      </c>
      <c r="G151" s="13">
        <v>4</v>
      </c>
      <c r="H151" s="13">
        <v>305000</v>
      </c>
      <c r="I151" s="13">
        <v>30500</v>
      </c>
      <c r="J151" s="13">
        <v>3019.9983852380701</v>
      </c>
      <c r="K151" s="13">
        <v>27450</v>
      </c>
      <c r="L151" s="13">
        <v>365969.998385238</v>
      </c>
      <c r="M151" s="13">
        <v>508.33333333333297</v>
      </c>
      <c r="N151" s="13">
        <v>1118.3333333333301</v>
      </c>
      <c r="O151" s="13">
        <v>200</v>
      </c>
      <c r="P151" s="13">
        <v>160</v>
      </c>
      <c r="Q151" s="13">
        <v>1986.6666666666599</v>
      </c>
      <c r="R151" s="13">
        <v>3050</v>
      </c>
      <c r="S151" s="13">
        <v>3659.6999838523798</v>
      </c>
      <c r="T151" s="13">
        <v>9150</v>
      </c>
      <c r="U151" s="13">
        <v>10979.0999515571</v>
      </c>
      <c r="V151" s="15">
        <f t="shared" si="6"/>
        <v>60969.998385237996</v>
      </c>
    </row>
    <row r="152" spans="1:22" x14ac:dyDescent="0.2">
      <c r="A152" s="13">
        <v>56</v>
      </c>
      <c r="B152" s="13" t="s">
        <v>136</v>
      </c>
      <c r="C152" s="13">
        <v>2</v>
      </c>
      <c r="D152" s="13" t="s">
        <v>102</v>
      </c>
      <c r="E152" s="13">
        <v>19</v>
      </c>
      <c r="F152" s="13">
        <v>23</v>
      </c>
      <c r="G152" s="13">
        <v>4</v>
      </c>
      <c r="H152" s="13">
        <v>305000</v>
      </c>
      <c r="I152" s="13">
        <v>30500</v>
      </c>
      <c r="J152" s="13">
        <v>3019.9983852380701</v>
      </c>
      <c r="K152" s="13">
        <v>27450</v>
      </c>
      <c r="L152" s="13">
        <v>365969.998385238</v>
      </c>
      <c r="M152" s="13">
        <v>508.33333333333297</v>
      </c>
      <c r="N152" s="13">
        <v>1118.3333333333301</v>
      </c>
      <c r="O152" s="13">
        <v>200</v>
      </c>
      <c r="P152" s="13">
        <v>160</v>
      </c>
      <c r="Q152" s="13">
        <v>1986.6666666666599</v>
      </c>
      <c r="R152" s="13">
        <v>3050</v>
      </c>
      <c r="S152" s="13">
        <v>3659.6999838523798</v>
      </c>
      <c r="T152" s="13">
        <v>9150</v>
      </c>
      <c r="U152" s="13">
        <v>10979.0999515571</v>
      </c>
      <c r="V152" s="15">
        <f t="shared" si="6"/>
        <v>60969.998385237996</v>
      </c>
    </row>
    <row r="153" spans="1:22" x14ac:dyDescent="0.2">
      <c r="A153" s="13">
        <v>57</v>
      </c>
      <c r="B153" s="13" t="s">
        <v>136</v>
      </c>
      <c r="C153" s="13">
        <v>2</v>
      </c>
      <c r="D153" s="13" t="s">
        <v>102</v>
      </c>
      <c r="E153" s="13">
        <v>19</v>
      </c>
      <c r="F153" s="13">
        <v>23</v>
      </c>
      <c r="G153" s="13">
        <v>4</v>
      </c>
      <c r="H153" s="13">
        <v>305000</v>
      </c>
      <c r="I153" s="13">
        <v>30500</v>
      </c>
      <c r="J153" s="13">
        <v>3019.9983852380701</v>
      </c>
      <c r="K153" s="13">
        <v>27450</v>
      </c>
      <c r="L153" s="13">
        <v>365969.998385238</v>
      </c>
      <c r="M153" s="13">
        <v>508.33333333333297</v>
      </c>
      <c r="N153" s="13">
        <v>1118.3333333333301</v>
      </c>
      <c r="O153" s="13">
        <v>200</v>
      </c>
      <c r="P153" s="13">
        <v>160</v>
      </c>
      <c r="Q153" s="13">
        <v>1986.6666666666599</v>
      </c>
      <c r="R153" s="13">
        <v>3050</v>
      </c>
      <c r="S153" s="13">
        <v>3659.6999838523798</v>
      </c>
      <c r="T153" s="13">
        <v>9150</v>
      </c>
      <c r="U153" s="13">
        <v>10979.0999515571</v>
      </c>
      <c r="V153" s="15">
        <f t="shared" si="6"/>
        <v>60969.998385237996</v>
      </c>
    </row>
    <row r="154" spans="1:22" x14ac:dyDescent="0.2">
      <c r="V154" s="14">
        <f>SUM(V97:V153)</f>
        <v>3679469.1599248676</v>
      </c>
    </row>
    <row r="155" spans="1:22" x14ac:dyDescent="0.2">
      <c r="A155" s="13">
        <v>69</v>
      </c>
      <c r="B155" s="13" t="s">
        <v>101</v>
      </c>
      <c r="C155" s="13">
        <v>2</v>
      </c>
      <c r="D155" s="13" t="s">
        <v>104</v>
      </c>
      <c r="E155" s="13">
        <v>17</v>
      </c>
      <c r="F155" s="13">
        <v>24</v>
      </c>
      <c r="G155" s="13">
        <v>7</v>
      </c>
      <c r="H155" s="13">
        <v>676000</v>
      </c>
      <c r="I155" s="13">
        <v>34553.74</v>
      </c>
      <c r="J155" s="13">
        <v>19515.992356670598</v>
      </c>
      <c r="K155" s="13">
        <v>34553.74</v>
      </c>
      <c r="L155" s="13">
        <v>764623.47235666995</v>
      </c>
      <c r="M155" s="13">
        <v>1577.3333333333301</v>
      </c>
      <c r="N155" s="13">
        <v>7097.99999999999</v>
      </c>
      <c r="O155" s="13">
        <v>420</v>
      </c>
      <c r="P155" s="13">
        <v>350</v>
      </c>
      <c r="Q155" s="13">
        <v>9445.3333333333303</v>
      </c>
      <c r="R155" s="13">
        <v>6760</v>
      </c>
      <c r="S155" s="13">
        <v>9175.4816682800392</v>
      </c>
      <c r="T155" s="13">
        <v>20280</v>
      </c>
      <c r="U155" s="13">
        <v>22938.704170700101</v>
      </c>
      <c r="V155" s="15">
        <f t="shared" ref="V155:V188" si="7">L155-H155</f>
        <v>88623.472356669954</v>
      </c>
    </row>
    <row r="156" spans="1:22" x14ac:dyDescent="0.2">
      <c r="A156" s="13">
        <v>81</v>
      </c>
      <c r="B156" s="13" t="s">
        <v>101</v>
      </c>
      <c r="C156" s="13">
        <v>2</v>
      </c>
      <c r="D156" s="13" t="s">
        <v>103</v>
      </c>
      <c r="E156" s="13">
        <v>18</v>
      </c>
      <c r="F156" s="13">
        <v>24</v>
      </c>
      <c r="G156" s="13">
        <v>6</v>
      </c>
      <c r="H156" s="13">
        <v>443000</v>
      </c>
      <c r="I156" s="13">
        <v>27172.733999999899</v>
      </c>
      <c r="J156" s="13">
        <v>9857.8198507783309</v>
      </c>
      <c r="K156" s="13">
        <v>27172.733999999899</v>
      </c>
      <c r="L156" s="13">
        <v>507203.28785077803</v>
      </c>
      <c r="M156" s="13">
        <v>886</v>
      </c>
      <c r="N156" s="13">
        <v>3986.99999999999</v>
      </c>
      <c r="O156" s="13">
        <v>360</v>
      </c>
      <c r="P156" s="13">
        <v>300</v>
      </c>
      <c r="Q156" s="13">
        <v>5533</v>
      </c>
      <c r="R156" s="13">
        <v>4430</v>
      </c>
      <c r="S156" s="13">
        <v>6086.4394542093396</v>
      </c>
      <c r="T156" s="13">
        <v>13290</v>
      </c>
      <c r="U156" s="13">
        <v>15216.0986355233</v>
      </c>
      <c r="V156" s="15">
        <f t="shared" si="7"/>
        <v>64203.287850778026</v>
      </c>
    </row>
    <row r="157" spans="1:22" x14ac:dyDescent="0.2">
      <c r="A157" s="13">
        <v>83</v>
      </c>
      <c r="B157" s="13" t="s">
        <v>101</v>
      </c>
      <c r="C157" s="13">
        <v>2</v>
      </c>
      <c r="D157" s="13" t="s">
        <v>103</v>
      </c>
      <c r="E157" s="13">
        <v>18</v>
      </c>
      <c r="F157" s="13">
        <v>24</v>
      </c>
      <c r="G157" s="13">
        <v>6</v>
      </c>
      <c r="H157" s="13">
        <v>443000</v>
      </c>
      <c r="I157" s="13">
        <v>27172.733999999899</v>
      </c>
      <c r="J157" s="13">
        <v>9857.8198507783309</v>
      </c>
      <c r="K157" s="13">
        <v>27172.733999999899</v>
      </c>
      <c r="L157" s="13">
        <v>507203.28785077803</v>
      </c>
      <c r="M157" s="13">
        <v>886</v>
      </c>
      <c r="N157" s="13">
        <v>3986.99999999999</v>
      </c>
      <c r="O157" s="13">
        <v>360</v>
      </c>
      <c r="P157" s="13">
        <v>300</v>
      </c>
      <c r="Q157" s="13">
        <v>5533</v>
      </c>
      <c r="R157" s="13">
        <v>4430</v>
      </c>
      <c r="S157" s="13">
        <v>6086.4394542093396</v>
      </c>
      <c r="T157" s="13">
        <v>13290</v>
      </c>
      <c r="U157" s="13">
        <v>15216.0986355233</v>
      </c>
      <c r="V157" s="15">
        <f t="shared" si="7"/>
        <v>64203.287850778026</v>
      </c>
    </row>
    <row r="158" spans="1:22" x14ac:dyDescent="0.2">
      <c r="A158" s="13">
        <v>84</v>
      </c>
      <c r="B158" s="13" t="s">
        <v>101</v>
      </c>
      <c r="C158" s="13">
        <v>2</v>
      </c>
      <c r="D158" s="13" t="s">
        <v>103</v>
      </c>
      <c r="E158" s="13">
        <v>18</v>
      </c>
      <c r="F158" s="13">
        <v>24</v>
      </c>
      <c r="G158" s="13">
        <v>6</v>
      </c>
      <c r="H158" s="13">
        <v>443000</v>
      </c>
      <c r="I158" s="13">
        <v>27172.733999999899</v>
      </c>
      <c r="J158" s="13">
        <v>9857.8198507783309</v>
      </c>
      <c r="K158" s="13">
        <v>27172.733999999899</v>
      </c>
      <c r="L158" s="13">
        <v>507203.28785077803</v>
      </c>
      <c r="M158" s="13">
        <v>886</v>
      </c>
      <c r="N158" s="13">
        <v>3986.99999999999</v>
      </c>
      <c r="O158" s="13">
        <v>360</v>
      </c>
      <c r="P158" s="13">
        <v>300</v>
      </c>
      <c r="Q158" s="13">
        <v>5533</v>
      </c>
      <c r="R158" s="13">
        <v>4430</v>
      </c>
      <c r="S158" s="13">
        <v>6086.4394542093396</v>
      </c>
      <c r="T158" s="13">
        <v>13290</v>
      </c>
      <c r="U158" s="13">
        <v>15216.0986355233</v>
      </c>
      <c r="V158" s="15">
        <f t="shared" si="7"/>
        <v>64203.287850778026</v>
      </c>
    </row>
    <row r="159" spans="1:22" x14ac:dyDescent="0.2">
      <c r="A159" s="13">
        <v>86</v>
      </c>
      <c r="B159" s="13" t="s">
        <v>101</v>
      </c>
      <c r="C159" s="13">
        <v>2</v>
      </c>
      <c r="D159" s="13" t="s">
        <v>103</v>
      </c>
      <c r="E159" s="13">
        <v>18</v>
      </c>
      <c r="F159" s="13">
        <v>24</v>
      </c>
      <c r="G159" s="13">
        <v>6</v>
      </c>
      <c r="H159" s="13">
        <v>443000</v>
      </c>
      <c r="I159" s="13">
        <v>27172.733999999899</v>
      </c>
      <c r="J159" s="13">
        <v>9857.8198507783309</v>
      </c>
      <c r="K159" s="13">
        <v>27172.733999999899</v>
      </c>
      <c r="L159" s="13">
        <v>507203.28785077803</v>
      </c>
      <c r="M159" s="13">
        <v>886</v>
      </c>
      <c r="N159" s="13">
        <v>3986.99999999999</v>
      </c>
      <c r="O159" s="13">
        <v>360</v>
      </c>
      <c r="P159" s="13">
        <v>300</v>
      </c>
      <c r="Q159" s="13">
        <v>5533</v>
      </c>
      <c r="R159" s="13">
        <v>4430</v>
      </c>
      <c r="S159" s="13">
        <v>6086.4394542093396</v>
      </c>
      <c r="T159" s="13">
        <v>13290</v>
      </c>
      <c r="U159" s="13">
        <v>15216.0986355233</v>
      </c>
      <c r="V159" s="15">
        <f t="shared" si="7"/>
        <v>64203.287850778026</v>
      </c>
    </row>
    <row r="160" spans="1:22" x14ac:dyDescent="0.2">
      <c r="A160" s="13">
        <v>87</v>
      </c>
      <c r="B160" s="13" t="s">
        <v>101</v>
      </c>
      <c r="C160" s="13">
        <v>2</v>
      </c>
      <c r="D160" s="13" t="s">
        <v>103</v>
      </c>
      <c r="E160" s="13">
        <v>18</v>
      </c>
      <c r="F160" s="13">
        <v>24</v>
      </c>
      <c r="G160" s="13">
        <v>6</v>
      </c>
      <c r="H160" s="13">
        <v>443000</v>
      </c>
      <c r="I160" s="13">
        <v>27172.733999999899</v>
      </c>
      <c r="J160" s="13">
        <v>9857.8198507783309</v>
      </c>
      <c r="K160" s="13">
        <v>27172.733999999899</v>
      </c>
      <c r="L160" s="13">
        <v>507203.28785077803</v>
      </c>
      <c r="M160" s="13">
        <v>886</v>
      </c>
      <c r="N160" s="13">
        <v>3986.99999999999</v>
      </c>
      <c r="O160" s="13">
        <v>360</v>
      </c>
      <c r="P160" s="13">
        <v>300</v>
      </c>
      <c r="Q160" s="13">
        <v>5533</v>
      </c>
      <c r="R160" s="13">
        <v>4430</v>
      </c>
      <c r="S160" s="13">
        <v>6086.4394542093396</v>
      </c>
      <c r="T160" s="13">
        <v>13290</v>
      </c>
      <c r="U160" s="13">
        <v>15216.0986355233</v>
      </c>
      <c r="V160" s="15">
        <f t="shared" si="7"/>
        <v>64203.287850778026</v>
      </c>
    </row>
    <row r="161" spans="1:22" x14ac:dyDescent="0.2">
      <c r="A161" s="13">
        <v>88</v>
      </c>
      <c r="B161" s="13" t="s">
        <v>101</v>
      </c>
      <c r="C161" s="13">
        <v>2</v>
      </c>
      <c r="D161" s="13" t="s">
        <v>103</v>
      </c>
      <c r="E161" s="13">
        <v>18</v>
      </c>
      <c r="F161" s="13">
        <v>24</v>
      </c>
      <c r="G161" s="13">
        <v>6</v>
      </c>
      <c r="H161" s="13">
        <v>443000</v>
      </c>
      <c r="I161" s="13">
        <v>27172.733999999899</v>
      </c>
      <c r="J161" s="13">
        <v>9857.8198507783309</v>
      </c>
      <c r="K161" s="13">
        <v>27172.733999999899</v>
      </c>
      <c r="L161" s="13">
        <v>507203.28785077803</v>
      </c>
      <c r="M161" s="13">
        <v>886</v>
      </c>
      <c r="N161" s="13">
        <v>3986.99999999999</v>
      </c>
      <c r="O161" s="13">
        <v>360</v>
      </c>
      <c r="P161" s="13">
        <v>300</v>
      </c>
      <c r="Q161" s="13">
        <v>5533</v>
      </c>
      <c r="R161" s="13">
        <v>4430</v>
      </c>
      <c r="S161" s="13">
        <v>6086.4394542093396</v>
      </c>
      <c r="T161" s="13">
        <v>13290</v>
      </c>
      <c r="U161" s="13">
        <v>15216.0986355233</v>
      </c>
      <c r="V161" s="15">
        <f t="shared" si="7"/>
        <v>64203.287850778026</v>
      </c>
    </row>
    <row r="162" spans="1:22" x14ac:dyDescent="0.2">
      <c r="A162" s="13">
        <v>102</v>
      </c>
      <c r="B162" s="13" t="s">
        <v>101</v>
      </c>
      <c r="C162" s="13">
        <v>2</v>
      </c>
      <c r="D162" s="13" t="s">
        <v>102</v>
      </c>
      <c r="E162" s="13">
        <v>19</v>
      </c>
      <c r="F162" s="13">
        <v>24</v>
      </c>
      <c r="G162" s="13">
        <v>5</v>
      </c>
      <c r="H162" s="13">
        <v>338000</v>
      </c>
      <c r="I162" s="13">
        <v>27642.991999999998</v>
      </c>
      <c r="J162" s="13">
        <v>5568.9637343662098</v>
      </c>
      <c r="K162" s="13">
        <v>27642.991999999998</v>
      </c>
      <c r="L162" s="13">
        <v>398854.947734366</v>
      </c>
      <c r="M162" s="13">
        <v>563.33333333333303</v>
      </c>
      <c r="N162" s="13">
        <v>2534.99999999999</v>
      </c>
      <c r="O162" s="13">
        <v>300</v>
      </c>
      <c r="P162" s="13">
        <v>250</v>
      </c>
      <c r="Q162" s="13">
        <v>3648.3333333333298</v>
      </c>
      <c r="R162" s="13">
        <v>3380</v>
      </c>
      <c r="S162" s="13">
        <v>4786.2593728123902</v>
      </c>
      <c r="T162" s="13">
        <v>10140</v>
      </c>
      <c r="U162" s="13">
        <v>11965.648432030899</v>
      </c>
      <c r="V162" s="15">
        <f t="shared" si="7"/>
        <v>60854.947734365996</v>
      </c>
    </row>
    <row r="163" spans="1:22" x14ac:dyDescent="0.2">
      <c r="A163" s="13">
        <v>108</v>
      </c>
      <c r="B163" s="13" t="s">
        <v>101</v>
      </c>
      <c r="C163" s="13">
        <v>2</v>
      </c>
      <c r="D163" s="13" t="s">
        <v>103</v>
      </c>
      <c r="E163" s="13">
        <v>19</v>
      </c>
      <c r="F163" s="13">
        <v>24</v>
      </c>
      <c r="G163" s="13">
        <v>5</v>
      </c>
      <c r="H163" s="13">
        <v>443000</v>
      </c>
      <c r="I163" s="13">
        <v>27172.733999999899</v>
      </c>
      <c r="J163" s="13">
        <v>8199.7467798370599</v>
      </c>
      <c r="K163" s="13">
        <v>27172.733999999899</v>
      </c>
      <c r="L163" s="13">
        <v>505545.214779837</v>
      </c>
      <c r="M163" s="13">
        <v>738.33333333333303</v>
      </c>
      <c r="N163" s="13">
        <v>3322.49999999999</v>
      </c>
      <c r="O163" s="13">
        <v>300</v>
      </c>
      <c r="P163" s="13">
        <v>250</v>
      </c>
      <c r="Q163" s="13">
        <v>4610.8333333333303</v>
      </c>
      <c r="R163" s="13">
        <v>4430</v>
      </c>
      <c r="S163" s="13">
        <v>6066.54257735804</v>
      </c>
      <c r="T163" s="13">
        <v>13290</v>
      </c>
      <c r="U163" s="13">
        <v>15166.3564433951</v>
      </c>
      <c r="V163" s="15">
        <f t="shared" si="7"/>
        <v>62545.214779836999</v>
      </c>
    </row>
    <row r="164" spans="1:22" x14ac:dyDescent="0.2">
      <c r="A164" s="13">
        <v>120</v>
      </c>
      <c r="B164" s="13" t="s">
        <v>101</v>
      </c>
      <c r="C164" s="13">
        <v>2</v>
      </c>
      <c r="D164" s="13" t="s">
        <v>103</v>
      </c>
      <c r="E164" s="13">
        <v>19</v>
      </c>
      <c r="F164" s="13">
        <v>24</v>
      </c>
      <c r="G164" s="13">
        <v>5</v>
      </c>
      <c r="H164" s="13">
        <v>443000</v>
      </c>
      <c r="I164" s="13">
        <v>27172.733999999899</v>
      </c>
      <c r="J164" s="13">
        <v>8199.7467798370599</v>
      </c>
      <c r="K164" s="13">
        <v>27172.733999999899</v>
      </c>
      <c r="L164" s="13">
        <v>505545.214779837</v>
      </c>
      <c r="M164" s="13">
        <v>738.33333333333303</v>
      </c>
      <c r="N164" s="13">
        <v>3322.49999999999</v>
      </c>
      <c r="O164" s="13">
        <v>300</v>
      </c>
      <c r="P164" s="13">
        <v>250</v>
      </c>
      <c r="Q164" s="13">
        <v>4610.8333333333303</v>
      </c>
      <c r="R164" s="13">
        <v>4430</v>
      </c>
      <c r="S164" s="13">
        <v>6066.54257735804</v>
      </c>
      <c r="T164" s="13">
        <v>13290</v>
      </c>
      <c r="U164" s="13">
        <v>15166.3564433951</v>
      </c>
      <c r="V164" s="15">
        <f t="shared" si="7"/>
        <v>62545.214779836999</v>
      </c>
    </row>
    <row r="165" spans="1:22" x14ac:dyDescent="0.2">
      <c r="A165" s="13">
        <v>121</v>
      </c>
      <c r="B165" s="13" t="s">
        <v>101</v>
      </c>
      <c r="C165" s="13">
        <v>2</v>
      </c>
      <c r="D165" s="13" t="s">
        <v>104</v>
      </c>
      <c r="E165" s="13">
        <v>19</v>
      </c>
      <c r="F165" s="13">
        <v>24</v>
      </c>
      <c r="G165" s="13">
        <v>5</v>
      </c>
      <c r="H165" s="13">
        <v>676000</v>
      </c>
      <c r="I165" s="13">
        <v>34553.74</v>
      </c>
      <c r="J165" s="13">
        <v>13883.202216778</v>
      </c>
      <c r="K165" s="13">
        <v>34553.74</v>
      </c>
      <c r="L165" s="13">
        <v>758990.682216777</v>
      </c>
      <c r="M165" s="13">
        <v>1126.6666666666599</v>
      </c>
      <c r="N165" s="13">
        <v>5069.99999999999</v>
      </c>
      <c r="O165" s="13">
        <v>300</v>
      </c>
      <c r="P165" s="13">
        <v>250</v>
      </c>
      <c r="Q165" s="13">
        <v>6746.6666666666597</v>
      </c>
      <c r="R165" s="13">
        <v>6760</v>
      </c>
      <c r="S165" s="13">
        <v>9107.8881866013307</v>
      </c>
      <c r="T165" s="13">
        <v>20280</v>
      </c>
      <c r="U165" s="13">
        <v>22769.720466503299</v>
      </c>
      <c r="V165" s="15">
        <f t="shared" si="7"/>
        <v>82990.682216777001</v>
      </c>
    </row>
    <row r="166" spans="1:22" x14ac:dyDescent="0.2">
      <c r="A166" s="13">
        <v>126</v>
      </c>
      <c r="B166" s="13" t="s">
        <v>101</v>
      </c>
      <c r="C166" s="13">
        <v>2</v>
      </c>
      <c r="D166" s="13" t="s">
        <v>102</v>
      </c>
      <c r="E166" s="13">
        <v>20</v>
      </c>
      <c r="F166" s="13">
        <v>24</v>
      </c>
      <c r="G166" s="13">
        <v>4</v>
      </c>
      <c r="H166" s="13">
        <v>338000</v>
      </c>
      <c r="I166" s="13">
        <v>27642.991999999998</v>
      </c>
      <c r="J166" s="13">
        <v>4447.8784912198998</v>
      </c>
      <c r="K166" s="13">
        <v>27642.991999999998</v>
      </c>
      <c r="L166" s="13">
        <v>397733.86249121901</v>
      </c>
      <c r="M166" s="13">
        <v>450.666666666666</v>
      </c>
      <c r="N166" s="13">
        <v>2027.99999999999</v>
      </c>
      <c r="O166" s="13">
        <v>240</v>
      </c>
      <c r="P166" s="13">
        <v>200</v>
      </c>
      <c r="Q166" s="13">
        <v>2918.6666666666601</v>
      </c>
      <c r="R166" s="13">
        <v>3380</v>
      </c>
      <c r="S166" s="13">
        <v>4772.8063498946303</v>
      </c>
      <c r="T166" s="13">
        <v>10140</v>
      </c>
      <c r="U166" s="13">
        <v>11932.0158747365</v>
      </c>
      <c r="V166" s="15">
        <f t="shared" si="7"/>
        <v>59733.862491219013</v>
      </c>
    </row>
    <row r="167" spans="1:22" x14ac:dyDescent="0.2">
      <c r="A167" s="13">
        <v>127</v>
      </c>
      <c r="B167" s="13" t="s">
        <v>101</v>
      </c>
      <c r="C167" s="13">
        <v>2</v>
      </c>
      <c r="D167" s="13" t="s">
        <v>102</v>
      </c>
      <c r="E167" s="13">
        <v>20</v>
      </c>
      <c r="F167" s="13">
        <v>24</v>
      </c>
      <c r="G167" s="13">
        <v>4</v>
      </c>
      <c r="H167" s="13">
        <v>338000</v>
      </c>
      <c r="I167" s="13">
        <v>27642.991999999998</v>
      </c>
      <c r="J167" s="13">
        <v>4447.8784912198998</v>
      </c>
      <c r="K167" s="13">
        <v>27642.991999999998</v>
      </c>
      <c r="L167" s="13">
        <v>397733.86249121901</v>
      </c>
      <c r="M167" s="13">
        <v>450.666666666666</v>
      </c>
      <c r="N167" s="13">
        <v>2027.99999999999</v>
      </c>
      <c r="O167" s="13">
        <v>240</v>
      </c>
      <c r="P167" s="13">
        <v>200</v>
      </c>
      <c r="Q167" s="13">
        <v>2918.6666666666601</v>
      </c>
      <c r="R167" s="13">
        <v>3380</v>
      </c>
      <c r="S167" s="13">
        <v>4772.8063498946303</v>
      </c>
      <c r="T167" s="13">
        <v>10140</v>
      </c>
      <c r="U167" s="13">
        <v>11932.0158747365</v>
      </c>
      <c r="V167" s="15">
        <f t="shared" si="7"/>
        <v>59733.862491219013</v>
      </c>
    </row>
    <row r="168" spans="1:22" x14ac:dyDescent="0.2">
      <c r="A168" s="13">
        <v>133</v>
      </c>
      <c r="B168" s="13" t="s">
        <v>101</v>
      </c>
      <c r="C168" s="13">
        <v>2</v>
      </c>
      <c r="D168" s="13" t="s">
        <v>103</v>
      </c>
      <c r="E168" s="13">
        <v>20</v>
      </c>
      <c r="F168" s="13">
        <v>24</v>
      </c>
      <c r="G168" s="13">
        <v>4</v>
      </c>
      <c r="H168" s="13">
        <v>443000</v>
      </c>
      <c r="I168" s="13">
        <v>27172.733999999899</v>
      </c>
      <c r="J168" s="13">
        <v>6547.7445023945402</v>
      </c>
      <c r="K168" s="13">
        <v>27172.733999999899</v>
      </c>
      <c r="L168" s="13">
        <v>503893.21250239399</v>
      </c>
      <c r="M168" s="13">
        <v>590.66666666666595</v>
      </c>
      <c r="N168" s="13">
        <v>2657.99999999999</v>
      </c>
      <c r="O168" s="13">
        <v>240</v>
      </c>
      <c r="P168" s="13">
        <v>200</v>
      </c>
      <c r="Q168" s="13">
        <v>3688.6666666666601</v>
      </c>
      <c r="R168" s="13">
        <v>4430</v>
      </c>
      <c r="S168" s="13">
        <v>6046.7185500287296</v>
      </c>
      <c r="T168" s="13">
        <v>13290</v>
      </c>
      <c r="U168" s="13">
        <v>15116.796375071801</v>
      </c>
      <c r="V168" s="15">
        <f t="shared" si="7"/>
        <v>60893.212502393988</v>
      </c>
    </row>
    <row r="169" spans="1:22" x14ac:dyDescent="0.2">
      <c r="A169" s="13">
        <v>134</v>
      </c>
      <c r="B169" s="13" t="s">
        <v>101</v>
      </c>
      <c r="C169" s="13">
        <v>2</v>
      </c>
      <c r="D169" s="13" t="s">
        <v>103</v>
      </c>
      <c r="E169" s="13">
        <v>20</v>
      </c>
      <c r="F169" s="13">
        <v>24</v>
      </c>
      <c r="G169" s="13">
        <v>4</v>
      </c>
      <c r="H169" s="13">
        <v>443000</v>
      </c>
      <c r="I169" s="13">
        <v>27172.733999999899</v>
      </c>
      <c r="J169" s="13">
        <v>6547.7445023945402</v>
      </c>
      <c r="K169" s="13">
        <v>27172.733999999899</v>
      </c>
      <c r="L169" s="13">
        <v>503893.21250239399</v>
      </c>
      <c r="M169" s="13">
        <v>590.66666666666595</v>
      </c>
      <c r="N169" s="13">
        <v>2657.99999999999</v>
      </c>
      <c r="O169" s="13">
        <v>240</v>
      </c>
      <c r="P169" s="13">
        <v>200</v>
      </c>
      <c r="Q169" s="13">
        <v>3688.6666666666601</v>
      </c>
      <c r="R169" s="13">
        <v>4430</v>
      </c>
      <c r="S169" s="13">
        <v>6046.7185500287296</v>
      </c>
      <c r="T169" s="13">
        <v>13290</v>
      </c>
      <c r="U169" s="13">
        <v>15116.796375071801</v>
      </c>
      <c r="V169" s="15">
        <f t="shared" si="7"/>
        <v>60893.212502393988</v>
      </c>
    </row>
    <row r="170" spans="1:22" x14ac:dyDescent="0.2">
      <c r="A170" s="13">
        <v>135</v>
      </c>
      <c r="B170" s="13" t="s">
        <v>101</v>
      </c>
      <c r="C170" s="13">
        <v>2</v>
      </c>
      <c r="D170" s="13" t="s">
        <v>103</v>
      </c>
      <c r="E170" s="13">
        <v>20</v>
      </c>
      <c r="F170" s="13">
        <v>24</v>
      </c>
      <c r="G170" s="13">
        <v>4</v>
      </c>
      <c r="H170" s="13">
        <v>443000</v>
      </c>
      <c r="I170" s="13">
        <v>27172.733999999899</v>
      </c>
      <c r="J170" s="13">
        <v>6547.7445023945402</v>
      </c>
      <c r="K170" s="13">
        <v>27172.733999999899</v>
      </c>
      <c r="L170" s="13">
        <v>503893.21250239399</v>
      </c>
      <c r="M170" s="13">
        <v>590.66666666666595</v>
      </c>
      <c r="N170" s="13">
        <v>2657.99999999999</v>
      </c>
      <c r="O170" s="13">
        <v>240</v>
      </c>
      <c r="P170" s="13">
        <v>200</v>
      </c>
      <c r="Q170" s="13">
        <v>3688.6666666666601</v>
      </c>
      <c r="R170" s="13">
        <v>4430</v>
      </c>
      <c r="S170" s="13">
        <v>6046.7185500287296</v>
      </c>
      <c r="T170" s="13">
        <v>13290</v>
      </c>
      <c r="U170" s="13">
        <v>15116.796375071801</v>
      </c>
      <c r="V170" s="15">
        <f t="shared" si="7"/>
        <v>60893.212502393988</v>
      </c>
    </row>
    <row r="171" spans="1:22" x14ac:dyDescent="0.2">
      <c r="A171" s="13">
        <v>139</v>
      </c>
      <c r="B171" s="13" t="s">
        <v>101</v>
      </c>
      <c r="C171" s="13">
        <v>2</v>
      </c>
      <c r="D171" s="13" t="s">
        <v>103</v>
      </c>
      <c r="E171" s="13">
        <v>20</v>
      </c>
      <c r="F171" s="13">
        <v>24</v>
      </c>
      <c r="G171" s="13">
        <v>4</v>
      </c>
      <c r="H171" s="13">
        <v>443000</v>
      </c>
      <c r="I171" s="13">
        <v>27172.733999999899</v>
      </c>
      <c r="J171" s="13">
        <v>6547.7445023945402</v>
      </c>
      <c r="K171" s="13">
        <v>27172.733999999899</v>
      </c>
      <c r="L171" s="13">
        <v>503893.21250239399</v>
      </c>
      <c r="M171" s="13">
        <v>590.66666666666595</v>
      </c>
      <c r="N171" s="13">
        <v>2657.99999999999</v>
      </c>
      <c r="O171" s="13">
        <v>240</v>
      </c>
      <c r="P171" s="13">
        <v>200</v>
      </c>
      <c r="Q171" s="13">
        <v>3688.6666666666601</v>
      </c>
      <c r="R171" s="13">
        <v>4430</v>
      </c>
      <c r="S171" s="13">
        <v>6046.7185500287296</v>
      </c>
      <c r="T171" s="13">
        <v>13290</v>
      </c>
      <c r="U171" s="13">
        <v>15116.796375071801</v>
      </c>
      <c r="V171" s="15">
        <f t="shared" si="7"/>
        <v>60893.212502393988</v>
      </c>
    </row>
    <row r="172" spans="1:22" x14ac:dyDescent="0.2">
      <c r="A172" s="13">
        <v>144</v>
      </c>
      <c r="B172" s="13" t="s">
        <v>101</v>
      </c>
      <c r="C172" s="13">
        <v>2</v>
      </c>
      <c r="D172" s="13" t="s">
        <v>103</v>
      </c>
      <c r="E172" s="13">
        <v>20</v>
      </c>
      <c r="F172" s="13">
        <v>24</v>
      </c>
      <c r="G172" s="13">
        <v>4</v>
      </c>
      <c r="H172" s="13">
        <v>443000</v>
      </c>
      <c r="I172" s="13">
        <v>27172.733999999899</v>
      </c>
      <c r="J172" s="13">
        <v>6547.7445023945402</v>
      </c>
      <c r="K172" s="13">
        <v>27172.733999999899</v>
      </c>
      <c r="L172" s="13">
        <v>503893.21250239399</v>
      </c>
      <c r="M172" s="13">
        <v>590.66666666666595</v>
      </c>
      <c r="N172" s="13">
        <v>2657.99999999999</v>
      </c>
      <c r="O172" s="13">
        <v>240</v>
      </c>
      <c r="P172" s="13">
        <v>200</v>
      </c>
      <c r="Q172" s="13">
        <v>3688.6666666666601</v>
      </c>
      <c r="R172" s="13">
        <v>4430</v>
      </c>
      <c r="S172" s="13">
        <v>6046.7185500287296</v>
      </c>
      <c r="T172" s="13">
        <v>13290</v>
      </c>
      <c r="U172" s="13">
        <v>15116.796375071801</v>
      </c>
      <c r="V172" s="15">
        <f t="shared" si="7"/>
        <v>60893.212502393988</v>
      </c>
    </row>
    <row r="173" spans="1:22" x14ac:dyDescent="0.2">
      <c r="A173" s="13">
        <v>20</v>
      </c>
      <c r="B173" s="13" t="s">
        <v>136</v>
      </c>
      <c r="C173" s="13">
        <v>2</v>
      </c>
      <c r="D173" s="13" t="s">
        <v>103</v>
      </c>
      <c r="E173" s="13">
        <v>17</v>
      </c>
      <c r="F173" s="13">
        <v>24</v>
      </c>
      <c r="G173" s="13">
        <v>7</v>
      </c>
      <c r="H173" s="13">
        <v>405000</v>
      </c>
      <c r="I173" s="13">
        <v>32400</v>
      </c>
      <c r="J173" s="13">
        <v>8209.4329593602797</v>
      </c>
      <c r="K173" s="13">
        <v>28350</v>
      </c>
      <c r="L173" s="13">
        <v>473959.43295936001</v>
      </c>
      <c r="M173" s="13">
        <v>1181.25</v>
      </c>
      <c r="N173" s="13">
        <v>2598.75</v>
      </c>
      <c r="O173" s="13">
        <v>350</v>
      </c>
      <c r="P173" s="13">
        <v>280</v>
      </c>
      <c r="Q173" s="13">
        <v>4410</v>
      </c>
      <c r="R173" s="13">
        <v>4050</v>
      </c>
      <c r="S173" s="13">
        <v>4739.5943295936004</v>
      </c>
      <c r="T173" s="13">
        <v>12150</v>
      </c>
      <c r="U173" s="13">
        <v>14218.7829887808</v>
      </c>
      <c r="V173" s="15">
        <f t="shared" si="7"/>
        <v>68959.432959360012</v>
      </c>
    </row>
    <row r="174" spans="1:22" x14ac:dyDescent="0.2">
      <c r="A174" s="13">
        <v>22</v>
      </c>
      <c r="B174" s="13" t="s">
        <v>136</v>
      </c>
      <c r="C174" s="13">
        <v>2</v>
      </c>
      <c r="D174" s="13" t="s">
        <v>103</v>
      </c>
      <c r="E174" s="13">
        <v>17</v>
      </c>
      <c r="F174" s="13">
        <v>24</v>
      </c>
      <c r="G174" s="13">
        <v>7</v>
      </c>
      <c r="H174" s="13">
        <v>405000</v>
      </c>
      <c r="I174" s="13">
        <v>32400</v>
      </c>
      <c r="J174" s="13">
        <v>8209.4329593602797</v>
      </c>
      <c r="K174" s="13">
        <v>28350</v>
      </c>
      <c r="L174" s="13">
        <v>473959.43295936001</v>
      </c>
      <c r="M174" s="13">
        <v>1181.25</v>
      </c>
      <c r="N174" s="13">
        <v>2598.75</v>
      </c>
      <c r="O174" s="13">
        <v>350</v>
      </c>
      <c r="P174" s="13">
        <v>280</v>
      </c>
      <c r="Q174" s="13">
        <v>4410</v>
      </c>
      <c r="R174" s="13">
        <v>4050</v>
      </c>
      <c r="S174" s="13">
        <v>4739.5943295936004</v>
      </c>
      <c r="T174" s="13">
        <v>12150</v>
      </c>
      <c r="U174" s="13">
        <v>14218.7829887808</v>
      </c>
      <c r="V174" s="15">
        <f t="shared" si="7"/>
        <v>68959.432959360012</v>
      </c>
    </row>
    <row r="175" spans="1:22" x14ac:dyDescent="0.2">
      <c r="A175" s="13">
        <v>35</v>
      </c>
      <c r="B175" s="13" t="s">
        <v>136</v>
      </c>
      <c r="C175" s="13">
        <v>2</v>
      </c>
      <c r="D175" s="13" t="s">
        <v>102</v>
      </c>
      <c r="E175" s="13">
        <v>18</v>
      </c>
      <c r="F175" s="13">
        <v>24</v>
      </c>
      <c r="G175" s="13">
        <v>6</v>
      </c>
      <c r="H175" s="13">
        <v>305000</v>
      </c>
      <c r="I175" s="13">
        <v>30500</v>
      </c>
      <c r="J175" s="13">
        <v>4541.1927353126903</v>
      </c>
      <c r="K175" s="13">
        <v>27450</v>
      </c>
      <c r="L175" s="13">
        <v>367491.19273531198</v>
      </c>
      <c r="M175" s="13">
        <v>762.5</v>
      </c>
      <c r="N175" s="13">
        <v>1677.5</v>
      </c>
      <c r="O175" s="13">
        <v>300</v>
      </c>
      <c r="P175" s="13">
        <v>240</v>
      </c>
      <c r="Q175" s="13">
        <v>2980</v>
      </c>
      <c r="R175" s="13">
        <v>3050</v>
      </c>
      <c r="S175" s="13">
        <v>3674.9119273531201</v>
      </c>
      <c r="T175" s="13">
        <v>9150</v>
      </c>
      <c r="U175" s="13">
        <v>11024.735782059301</v>
      </c>
      <c r="V175" s="15">
        <f t="shared" si="7"/>
        <v>62491.192735311983</v>
      </c>
    </row>
    <row r="176" spans="1:22" x14ac:dyDescent="0.2">
      <c r="A176" s="13">
        <v>41</v>
      </c>
      <c r="B176" s="13" t="s">
        <v>136</v>
      </c>
      <c r="C176" s="13">
        <v>2</v>
      </c>
      <c r="D176" s="13" t="s">
        <v>103</v>
      </c>
      <c r="E176" s="13">
        <v>18</v>
      </c>
      <c r="F176" s="13">
        <v>24</v>
      </c>
      <c r="G176" s="13">
        <v>6</v>
      </c>
      <c r="H176" s="13">
        <v>405000</v>
      </c>
      <c r="I176" s="13">
        <v>32400</v>
      </c>
      <c r="J176" s="13">
        <v>7026.5464748600298</v>
      </c>
      <c r="K176" s="13">
        <v>28350</v>
      </c>
      <c r="L176" s="13">
        <v>472776.54647485999</v>
      </c>
      <c r="M176" s="13">
        <v>1012.5</v>
      </c>
      <c r="N176" s="13">
        <v>2227.5</v>
      </c>
      <c r="O176" s="13">
        <v>300</v>
      </c>
      <c r="P176" s="13">
        <v>240</v>
      </c>
      <c r="Q176" s="13">
        <v>3780</v>
      </c>
      <c r="R176" s="13">
        <v>4050</v>
      </c>
      <c r="S176" s="13">
        <v>4727.7654647485997</v>
      </c>
      <c r="T176" s="13">
        <v>12150</v>
      </c>
      <c r="U176" s="13">
        <v>14183.296394245799</v>
      </c>
      <c r="V176" s="15">
        <f t="shared" si="7"/>
        <v>67776.546474859992</v>
      </c>
    </row>
    <row r="177" spans="1:22" x14ac:dyDescent="0.2">
      <c r="A177" s="13">
        <v>53</v>
      </c>
      <c r="B177" s="13" t="s">
        <v>136</v>
      </c>
      <c r="C177" s="13">
        <v>2</v>
      </c>
      <c r="D177" s="13" t="s">
        <v>102</v>
      </c>
      <c r="E177" s="13">
        <v>19</v>
      </c>
      <c r="F177" s="13">
        <v>24</v>
      </c>
      <c r="G177" s="13">
        <v>5</v>
      </c>
      <c r="H177" s="13">
        <v>305000</v>
      </c>
      <c r="I177" s="13">
        <v>30500</v>
      </c>
      <c r="J177" s="13">
        <v>3779.6587965205999</v>
      </c>
      <c r="K177" s="13">
        <v>27450</v>
      </c>
      <c r="L177" s="13">
        <v>366729.65879651997</v>
      </c>
      <c r="M177" s="13">
        <v>635.41666666666595</v>
      </c>
      <c r="N177" s="13">
        <v>1397.9166666666599</v>
      </c>
      <c r="O177" s="13">
        <v>250</v>
      </c>
      <c r="P177" s="13">
        <v>200</v>
      </c>
      <c r="Q177" s="13">
        <v>2483.3333333333298</v>
      </c>
      <c r="R177" s="13">
        <v>3050</v>
      </c>
      <c r="S177" s="13">
        <v>3667.2965879652002</v>
      </c>
      <c r="T177" s="13">
        <v>9150</v>
      </c>
      <c r="U177" s="13">
        <v>11001.8897638956</v>
      </c>
      <c r="V177" s="15">
        <f t="shared" si="7"/>
        <v>61729.658796519972</v>
      </c>
    </row>
    <row r="178" spans="1:22" x14ac:dyDescent="0.2">
      <c r="A178" s="13">
        <v>59</v>
      </c>
      <c r="B178" s="13" t="s">
        <v>136</v>
      </c>
      <c r="C178" s="13">
        <v>2</v>
      </c>
      <c r="D178" s="13" t="s">
        <v>102</v>
      </c>
      <c r="E178" s="13">
        <v>19</v>
      </c>
      <c r="F178" s="13">
        <v>24</v>
      </c>
      <c r="G178" s="13">
        <v>5</v>
      </c>
      <c r="H178" s="13">
        <v>305000</v>
      </c>
      <c r="I178" s="13">
        <v>30500</v>
      </c>
      <c r="J178" s="13">
        <v>3779.6587965205999</v>
      </c>
      <c r="K178" s="13">
        <v>27450</v>
      </c>
      <c r="L178" s="13">
        <v>366729.65879651997</v>
      </c>
      <c r="M178" s="13">
        <v>635.41666666666595</v>
      </c>
      <c r="N178" s="13">
        <v>1397.9166666666599</v>
      </c>
      <c r="O178" s="13">
        <v>250</v>
      </c>
      <c r="P178" s="13">
        <v>200</v>
      </c>
      <c r="Q178" s="13">
        <v>2483.3333333333298</v>
      </c>
      <c r="R178" s="13">
        <v>3050</v>
      </c>
      <c r="S178" s="13">
        <v>3667.2965879652002</v>
      </c>
      <c r="T178" s="13">
        <v>9150</v>
      </c>
      <c r="U178" s="13">
        <v>11001.8897638956</v>
      </c>
      <c r="V178" s="15">
        <f t="shared" si="7"/>
        <v>61729.658796519972</v>
      </c>
    </row>
    <row r="179" spans="1:22" x14ac:dyDescent="0.2">
      <c r="A179" s="13">
        <v>60</v>
      </c>
      <c r="B179" s="13" t="s">
        <v>136</v>
      </c>
      <c r="C179" s="13">
        <v>2</v>
      </c>
      <c r="D179" s="13" t="s">
        <v>102</v>
      </c>
      <c r="E179" s="13">
        <v>19</v>
      </c>
      <c r="F179" s="13">
        <v>24</v>
      </c>
      <c r="G179" s="13">
        <v>5</v>
      </c>
      <c r="H179" s="13">
        <v>305000</v>
      </c>
      <c r="I179" s="13">
        <v>30500</v>
      </c>
      <c r="J179" s="13">
        <v>3779.6587965205999</v>
      </c>
      <c r="K179" s="13">
        <v>27450</v>
      </c>
      <c r="L179" s="13">
        <v>366729.65879651997</v>
      </c>
      <c r="M179" s="13">
        <v>635.41666666666595</v>
      </c>
      <c r="N179" s="13">
        <v>1397.9166666666599</v>
      </c>
      <c r="O179" s="13">
        <v>250</v>
      </c>
      <c r="P179" s="13">
        <v>200</v>
      </c>
      <c r="Q179" s="13">
        <v>2483.3333333333298</v>
      </c>
      <c r="R179" s="13">
        <v>3050</v>
      </c>
      <c r="S179" s="13">
        <v>3667.2965879652002</v>
      </c>
      <c r="T179" s="13">
        <v>9150</v>
      </c>
      <c r="U179" s="13">
        <v>11001.8897638956</v>
      </c>
      <c r="V179" s="15">
        <f t="shared" si="7"/>
        <v>61729.658796519972</v>
      </c>
    </row>
    <row r="180" spans="1:22" x14ac:dyDescent="0.2">
      <c r="A180" s="13">
        <v>61</v>
      </c>
      <c r="B180" s="13" t="s">
        <v>136</v>
      </c>
      <c r="C180" s="13">
        <v>2</v>
      </c>
      <c r="D180" s="13" t="s">
        <v>103</v>
      </c>
      <c r="E180" s="13">
        <v>19</v>
      </c>
      <c r="F180" s="13">
        <v>24</v>
      </c>
      <c r="G180" s="13">
        <v>5</v>
      </c>
      <c r="H180" s="13">
        <v>405000</v>
      </c>
      <c r="I180" s="13">
        <v>32400</v>
      </c>
      <c r="J180" s="13">
        <v>5847.0462161416699</v>
      </c>
      <c r="K180" s="13">
        <v>28350</v>
      </c>
      <c r="L180" s="13">
        <v>471597.04621614103</v>
      </c>
      <c r="M180" s="13">
        <v>843.75</v>
      </c>
      <c r="N180" s="13">
        <v>1856.25</v>
      </c>
      <c r="O180" s="13">
        <v>250</v>
      </c>
      <c r="P180" s="13">
        <v>200</v>
      </c>
      <c r="Q180" s="13">
        <v>3150</v>
      </c>
      <c r="R180" s="13">
        <v>4050</v>
      </c>
      <c r="S180" s="13">
        <v>4715.9704621614101</v>
      </c>
      <c r="T180" s="13">
        <v>12150</v>
      </c>
      <c r="U180" s="13">
        <v>14147.9113864842</v>
      </c>
      <c r="V180" s="15">
        <f t="shared" si="7"/>
        <v>66597.046216141025</v>
      </c>
    </row>
    <row r="181" spans="1:22" x14ac:dyDescent="0.2">
      <c r="A181" s="13">
        <v>66</v>
      </c>
      <c r="B181" s="13" t="s">
        <v>136</v>
      </c>
      <c r="C181" s="13">
        <v>2</v>
      </c>
      <c r="D181" s="13" t="s">
        <v>103</v>
      </c>
      <c r="E181" s="13">
        <v>19</v>
      </c>
      <c r="F181" s="13">
        <v>24</v>
      </c>
      <c r="G181" s="13">
        <v>5</v>
      </c>
      <c r="H181" s="13">
        <v>405000</v>
      </c>
      <c r="I181" s="13">
        <v>32400</v>
      </c>
      <c r="J181" s="13">
        <v>5847.0462161416699</v>
      </c>
      <c r="K181" s="13">
        <v>28350</v>
      </c>
      <c r="L181" s="13">
        <v>471597.04621614103</v>
      </c>
      <c r="M181" s="13">
        <v>843.75</v>
      </c>
      <c r="N181" s="13">
        <v>1856.25</v>
      </c>
      <c r="O181" s="13">
        <v>250</v>
      </c>
      <c r="P181" s="13">
        <v>200</v>
      </c>
      <c r="Q181" s="13">
        <v>3150</v>
      </c>
      <c r="R181" s="13">
        <v>4050</v>
      </c>
      <c r="S181" s="13">
        <v>4715.9704621614101</v>
      </c>
      <c r="T181" s="13">
        <v>12150</v>
      </c>
      <c r="U181" s="13">
        <v>14147.9113864842</v>
      </c>
      <c r="V181" s="15">
        <f t="shared" si="7"/>
        <v>66597.046216141025</v>
      </c>
    </row>
    <row r="182" spans="1:22" x14ac:dyDescent="0.2">
      <c r="A182" s="13">
        <v>67</v>
      </c>
      <c r="B182" s="13" t="s">
        <v>136</v>
      </c>
      <c r="C182" s="13">
        <v>2</v>
      </c>
      <c r="D182" s="13" t="s">
        <v>103</v>
      </c>
      <c r="E182" s="13">
        <v>19</v>
      </c>
      <c r="F182" s="13">
        <v>24</v>
      </c>
      <c r="G182" s="13">
        <v>5</v>
      </c>
      <c r="H182" s="13">
        <v>405000</v>
      </c>
      <c r="I182" s="13">
        <v>32400</v>
      </c>
      <c r="J182" s="13">
        <v>5847.0462161416699</v>
      </c>
      <c r="K182" s="13">
        <v>28350</v>
      </c>
      <c r="L182" s="13">
        <v>471597.04621614103</v>
      </c>
      <c r="M182" s="13">
        <v>843.75</v>
      </c>
      <c r="N182" s="13">
        <v>1856.25</v>
      </c>
      <c r="O182" s="13">
        <v>250</v>
      </c>
      <c r="P182" s="13">
        <v>200</v>
      </c>
      <c r="Q182" s="13">
        <v>3150</v>
      </c>
      <c r="R182" s="13">
        <v>4050</v>
      </c>
      <c r="S182" s="13">
        <v>4715.9704621614101</v>
      </c>
      <c r="T182" s="13">
        <v>12150</v>
      </c>
      <c r="U182" s="13">
        <v>14147.9113864842</v>
      </c>
      <c r="V182" s="15">
        <f t="shared" si="7"/>
        <v>66597.046216141025</v>
      </c>
    </row>
    <row r="183" spans="1:22" x14ac:dyDescent="0.2">
      <c r="A183" s="13">
        <v>68</v>
      </c>
      <c r="B183" s="13" t="s">
        <v>136</v>
      </c>
      <c r="C183" s="13">
        <v>2</v>
      </c>
      <c r="D183" s="13" t="s">
        <v>103</v>
      </c>
      <c r="E183" s="13">
        <v>19</v>
      </c>
      <c r="F183" s="13">
        <v>24</v>
      </c>
      <c r="G183" s="13">
        <v>5</v>
      </c>
      <c r="H183" s="13">
        <v>405000</v>
      </c>
      <c r="I183" s="13">
        <v>32400</v>
      </c>
      <c r="J183" s="13">
        <v>5847.0462161416699</v>
      </c>
      <c r="K183" s="13">
        <v>28350</v>
      </c>
      <c r="L183" s="13">
        <v>471597.04621614103</v>
      </c>
      <c r="M183" s="13">
        <v>843.75</v>
      </c>
      <c r="N183" s="13">
        <v>1856.25</v>
      </c>
      <c r="O183" s="13">
        <v>250</v>
      </c>
      <c r="P183" s="13">
        <v>200</v>
      </c>
      <c r="Q183" s="13">
        <v>3150</v>
      </c>
      <c r="R183" s="13">
        <v>4050</v>
      </c>
      <c r="S183" s="13">
        <v>4715.9704621614101</v>
      </c>
      <c r="T183" s="13">
        <v>12150</v>
      </c>
      <c r="U183" s="13">
        <v>14147.9113864842</v>
      </c>
      <c r="V183" s="15">
        <f t="shared" si="7"/>
        <v>66597.046216141025</v>
      </c>
    </row>
    <row r="184" spans="1:22" x14ac:dyDescent="0.2">
      <c r="A184" s="13">
        <v>70</v>
      </c>
      <c r="B184" s="13" t="s">
        <v>136</v>
      </c>
      <c r="C184" s="13">
        <v>2</v>
      </c>
      <c r="D184" s="13" t="s">
        <v>103</v>
      </c>
      <c r="E184" s="13">
        <v>19</v>
      </c>
      <c r="F184" s="13">
        <v>24</v>
      </c>
      <c r="G184" s="13">
        <v>5</v>
      </c>
      <c r="H184" s="13">
        <v>405000</v>
      </c>
      <c r="I184" s="13">
        <v>32400</v>
      </c>
      <c r="J184" s="13">
        <v>5847.0462161416699</v>
      </c>
      <c r="K184" s="13">
        <v>28350</v>
      </c>
      <c r="L184" s="13">
        <v>471597.04621614103</v>
      </c>
      <c r="M184" s="13">
        <v>843.75</v>
      </c>
      <c r="N184" s="13">
        <v>1856.25</v>
      </c>
      <c r="O184" s="13">
        <v>250</v>
      </c>
      <c r="P184" s="13">
        <v>200</v>
      </c>
      <c r="Q184" s="13">
        <v>3150</v>
      </c>
      <c r="R184" s="13">
        <v>4050</v>
      </c>
      <c r="S184" s="13">
        <v>4715.9704621614101</v>
      </c>
      <c r="T184" s="13">
        <v>12150</v>
      </c>
      <c r="U184" s="13">
        <v>14147.9113864842</v>
      </c>
      <c r="V184" s="15">
        <f t="shared" si="7"/>
        <v>66597.046216141025</v>
      </c>
    </row>
    <row r="185" spans="1:22" x14ac:dyDescent="0.2">
      <c r="A185" s="13">
        <v>72</v>
      </c>
      <c r="B185" s="13" t="s">
        <v>136</v>
      </c>
      <c r="C185" s="13">
        <v>2</v>
      </c>
      <c r="D185" s="13" t="s">
        <v>103</v>
      </c>
      <c r="E185" s="13">
        <v>19</v>
      </c>
      <c r="F185" s="13">
        <v>24</v>
      </c>
      <c r="G185" s="13">
        <v>5</v>
      </c>
      <c r="H185" s="13">
        <v>405000</v>
      </c>
      <c r="I185" s="13">
        <v>32400</v>
      </c>
      <c r="J185" s="13">
        <v>5847.0462161416699</v>
      </c>
      <c r="K185" s="13">
        <v>28350</v>
      </c>
      <c r="L185" s="13">
        <v>471597.04621614103</v>
      </c>
      <c r="M185" s="13">
        <v>843.75</v>
      </c>
      <c r="N185" s="13">
        <v>1856.25</v>
      </c>
      <c r="O185" s="13">
        <v>250</v>
      </c>
      <c r="P185" s="13">
        <v>200</v>
      </c>
      <c r="Q185" s="13">
        <v>3150</v>
      </c>
      <c r="R185" s="13">
        <v>4050</v>
      </c>
      <c r="S185" s="13">
        <v>4715.9704621614101</v>
      </c>
      <c r="T185" s="13">
        <v>12150</v>
      </c>
      <c r="U185" s="13">
        <v>14147.9113864842</v>
      </c>
      <c r="V185" s="15">
        <f t="shared" si="7"/>
        <v>66597.046216141025</v>
      </c>
    </row>
    <row r="186" spans="1:22" x14ac:dyDescent="0.2">
      <c r="A186" s="13">
        <v>76</v>
      </c>
      <c r="B186" s="13" t="s">
        <v>136</v>
      </c>
      <c r="C186" s="13">
        <v>2</v>
      </c>
      <c r="D186" s="13" t="s">
        <v>102</v>
      </c>
      <c r="E186" s="13">
        <v>20</v>
      </c>
      <c r="F186" s="13">
        <v>24</v>
      </c>
      <c r="G186" s="13">
        <v>4</v>
      </c>
      <c r="H186" s="13">
        <v>305000</v>
      </c>
      <c r="I186" s="13">
        <v>30500</v>
      </c>
      <c r="J186" s="13">
        <v>3019.9983852380701</v>
      </c>
      <c r="K186" s="13">
        <v>27450</v>
      </c>
      <c r="L186" s="13">
        <v>365969.998385238</v>
      </c>
      <c r="M186" s="13">
        <v>508.33333333333297</v>
      </c>
      <c r="N186" s="13">
        <v>1118.3333333333301</v>
      </c>
      <c r="O186" s="13">
        <v>200</v>
      </c>
      <c r="P186" s="13">
        <v>160</v>
      </c>
      <c r="Q186" s="13">
        <v>1986.6666666666599</v>
      </c>
      <c r="R186" s="13">
        <v>3050</v>
      </c>
      <c r="S186" s="13">
        <v>3659.6999838523798</v>
      </c>
      <c r="T186" s="13">
        <v>9150</v>
      </c>
      <c r="U186" s="13">
        <v>10979.0999515571</v>
      </c>
      <c r="V186" s="15">
        <f t="shared" si="7"/>
        <v>60969.998385237996</v>
      </c>
    </row>
    <row r="187" spans="1:22" x14ac:dyDescent="0.2">
      <c r="A187" s="13">
        <v>87</v>
      </c>
      <c r="B187" s="13" t="s">
        <v>136</v>
      </c>
      <c r="C187" s="13">
        <v>2</v>
      </c>
      <c r="D187" s="13" t="s">
        <v>102</v>
      </c>
      <c r="E187" s="13">
        <v>20</v>
      </c>
      <c r="F187" s="13">
        <v>24</v>
      </c>
      <c r="G187" s="13">
        <v>4</v>
      </c>
      <c r="H187" s="13">
        <v>305000</v>
      </c>
      <c r="I187" s="13">
        <v>30500</v>
      </c>
      <c r="J187" s="13">
        <v>3019.9983852380701</v>
      </c>
      <c r="K187" s="13">
        <v>27450</v>
      </c>
      <c r="L187" s="13">
        <v>365969.998385238</v>
      </c>
      <c r="M187" s="13">
        <v>508.33333333333297</v>
      </c>
      <c r="N187" s="13">
        <v>1118.3333333333301</v>
      </c>
      <c r="O187" s="13">
        <v>200</v>
      </c>
      <c r="P187" s="13">
        <v>160</v>
      </c>
      <c r="Q187" s="13">
        <v>1986.6666666666599</v>
      </c>
      <c r="R187" s="13">
        <v>3050</v>
      </c>
      <c r="S187" s="13">
        <v>3659.6999838523798</v>
      </c>
      <c r="T187" s="13">
        <v>9150</v>
      </c>
      <c r="U187" s="13">
        <v>10979.0999515571</v>
      </c>
      <c r="V187" s="15">
        <f t="shared" si="7"/>
        <v>60969.998385237996</v>
      </c>
    </row>
    <row r="188" spans="1:22" x14ac:dyDescent="0.2">
      <c r="A188" s="13">
        <v>89</v>
      </c>
      <c r="B188" s="13" t="s">
        <v>136</v>
      </c>
      <c r="C188" s="13">
        <v>2</v>
      </c>
      <c r="D188" s="13" t="s">
        <v>102</v>
      </c>
      <c r="E188" s="13">
        <v>20</v>
      </c>
      <c r="F188" s="13">
        <v>24</v>
      </c>
      <c r="G188" s="13">
        <v>4</v>
      </c>
      <c r="H188" s="13">
        <v>305000</v>
      </c>
      <c r="I188" s="13">
        <v>30500</v>
      </c>
      <c r="J188" s="13">
        <v>3019.9983852380701</v>
      </c>
      <c r="K188" s="13">
        <v>27450</v>
      </c>
      <c r="L188" s="13">
        <v>365969.998385238</v>
      </c>
      <c r="M188" s="13">
        <v>508.33333333333297</v>
      </c>
      <c r="N188" s="13">
        <v>1118.3333333333301</v>
      </c>
      <c r="O188" s="13">
        <v>200</v>
      </c>
      <c r="P188" s="13">
        <v>160</v>
      </c>
      <c r="Q188" s="13">
        <v>1986.6666666666599</v>
      </c>
      <c r="R188" s="13">
        <v>3050</v>
      </c>
      <c r="S188" s="13">
        <v>3659.6999838523798</v>
      </c>
      <c r="T188" s="13">
        <v>9150</v>
      </c>
      <c r="U188" s="13">
        <v>10979.0999515571</v>
      </c>
      <c r="V188" s="15">
        <f t="shared" si="7"/>
        <v>60969.998385237996</v>
      </c>
    </row>
    <row r="189" spans="1:22" x14ac:dyDescent="0.2">
      <c r="V189" s="14">
        <f>SUM(V155:V188)</f>
        <v>2202580.9004375753</v>
      </c>
    </row>
    <row r="190" spans="1:22" x14ac:dyDescent="0.2">
      <c r="A190" s="13">
        <v>95</v>
      </c>
      <c r="B190" s="13" t="s">
        <v>101</v>
      </c>
      <c r="C190" s="13">
        <v>2</v>
      </c>
      <c r="D190" s="13" t="s">
        <v>104</v>
      </c>
      <c r="E190" s="13">
        <v>18</v>
      </c>
      <c r="F190" s="13">
        <v>25</v>
      </c>
      <c r="G190" s="13">
        <v>7</v>
      </c>
      <c r="H190" s="13">
        <v>676000</v>
      </c>
      <c r="I190" s="13">
        <v>34553.74</v>
      </c>
      <c r="J190" s="13">
        <v>19515.992356670598</v>
      </c>
      <c r="K190" s="13">
        <v>34553.74</v>
      </c>
      <c r="L190" s="13">
        <v>764623.47235666995</v>
      </c>
      <c r="M190" s="13">
        <v>1577.3333333333301</v>
      </c>
      <c r="N190" s="13">
        <v>7097.99999999999</v>
      </c>
      <c r="O190" s="13">
        <v>420</v>
      </c>
      <c r="P190" s="13">
        <v>350</v>
      </c>
      <c r="Q190" s="13">
        <v>9445.3333333333303</v>
      </c>
      <c r="R190" s="13">
        <v>6760</v>
      </c>
      <c r="S190" s="13">
        <v>9175.4816682800392</v>
      </c>
      <c r="T190" s="13">
        <v>20280</v>
      </c>
      <c r="U190" s="13">
        <v>22938.704170700101</v>
      </c>
      <c r="V190" s="15">
        <f t="shared" ref="V190:V234" si="8">L190-H190</f>
        <v>88623.472356669954</v>
      </c>
    </row>
    <row r="191" spans="1:22" x14ac:dyDescent="0.2">
      <c r="A191" s="13">
        <v>107</v>
      </c>
      <c r="B191" s="13" t="s">
        <v>101</v>
      </c>
      <c r="C191" s="13">
        <v>2</v>
      </c>
      <c r="D191" s="13" t="s">
        <v>103</v>
      </c>
      <c r="E191" s="13">
        <v>19</v>
      </c>
      <c r="F191" s="13">
        <v>25</v>
      </c>
      <c r="G191" s="13">
        <v>6</v>
      </c>
      <c r="H191" s="13">
        <v>443000</v>
      </c>
      <c r="I191" s="13">
        <v>27172.733999999899</v>
      </c>
      <c r="J191" s="13">
        <v>9857.8198507783309</v>
      </c>
      <c r="K191" s="13">
        <v>27172.733999999899</v>
      </c>
      <c r="L191" s="13">
        <v>507203.28785077803</v>
      </c>
      <c r="M191" s="13">
        <v>886</v>
      </c>
      <c r="N191" s="13">
        <v>3986.99999999999</v>
      </c>
      <c r="O191" s="13">
        <v>360</v>
      </c>
      <c r="P191" s="13">
        <v>300</v>
      </c>
      <c r="Q191" s="13">
        <v>5533</v>
      </c>
      <c r="R191" s="13">
        <v>4430</v>
      </c>
      <c r="S191" s="13">
        <v>6086.4394542093396</v>
      </c>
      <c r="T191" s="13">
        <v>13290</v>
      </c>
      <c r="U191" s="13">
        <v>15216.0986355233</v>
      </c>
      <c r="V191" s="15">
        <f t="shared" si="8"/>
        <v>64203.287850778026</v>
      </c>
    </row>
    <row r="192" spans="1:22" x14ac:dyDescent="0.2">
      <c r="A192" s="13">
        <v>115</v>
      </c>
      <c r="B192" s="13" t="s">
        <v>101</v>
      </c>
      <c r="C192" s="13">
        <v>2</v>
      </c>
      <c r="D192" s="13" t="s">
        <v>103</v>
      </c>
      <c r="E192" s="13">
        <v>19</v>
      </c>
      <c r="F192" s="13">
        <v>25</v>
      </c>
      <c r="G192" s="13">
        <v>6</v>
      </c>
      <c r="H192" s="13">
        <v>443000</v>
      </c>
      <c r="I192" s="13">
        <v>27172.733999999899</v>
      </c>
      <c r="J192" s="13">
        <v>9857.8198507783309</v>
      </c>
      <c r="K192" s="13">
        <v>27172.733999999899</v>
      </c>
      <c r="L192" s="13">
        <v>507203.28785077803</v>
      </c>
      <c r="M192" s="13">
        <v>886</v>
      </c>
      <c r="N192" s="13">
        <v>3986.99999999999</v>
      </c>
      <c r="O192" s="13">
        <v>360</v>
      </c>
      <c r="P192" s="13">
        <v>300</v>
      </c>
      <c r="Q192" s="13">
        <v>5533</v>
      </c>
      <c r="R192" s="13">
        <v>4430</v>
      </c>
      <c r="S192" s="13">
        <v>6086.4394542093396</v>
      </c>
      <c r="T192" s="13">
        <v>13290</v>
      </c>
      <c r="U192" s="13">
        <v>15216.0986355233</v>
      </c>
      <c r="V192" s="15">
        <f t="shared" si="8"/>
        <v>64203.287850778026</v>
      </c>
    </row>
    <row r="193" spans="1:22" x14ac:dyDescent="0.2">
      <c r="A193" s="13">
        <v>116</v>
      </c>
      <c r="B193" s="13" t="s">
        <v>101</v>
      </c>
      <c r="C193" s="13">
        <v>2</v>
      </c>
      <c r="D193" s="13" t="s">
        <v>103</v>
      </c>
      <c r="E193" s="13">
        <v>19</v>
      </c>
      <c r="F193" s="13">
        <v>25</v>
      </c>
      <c r="G193" s="13">
        <v>6</v>
      </c>
      <c r="H193" s="13">
        <v>443000</v>
      </c>
      <c r="I193" s="13">
        <v>27172.733999999899</v>
      </c>
      <c r="J193" s="13">
        <v>9857.8198507783309</v>
      </c>
      <c r="K193" s="13">
        <v>27172.733999999899</v>
      </c>
      <c r="L193" s="13">
        <v>507203.28785077803</v>
      </c>
      <c r="M193" s="13">
        <v>886</v>
      </c>
      <c r="N193" s="13">
        <v>3986.99999999999</v>
      </c>
      <c r="O193" s="13">
        <v>360</v>
      </c>
      <c r="P193" s="13">
        <v>300</v>
      </c>
      <c r="Q193" s="13">
        <v>5533</v>
      </c>
      <c r="R193" s="13">
        <v>4430</v>
      </c>
      <c r="S193" s="13">
        <v>6086.4394542093396</v>
      </c>
      <c r="T193" s="13">
        <v>13290</v>
      </c>
      <c r="U193" s="13">
        <v>15216.0986355233</v>
      </c>
      <c r="V193" s="15">
        <f t="shared" si="8"/>
        <v>64203.287850778026</v>
      </c>
    </row>
    <row r="194" spans="1:22" x14ac:dyDescent="0.2">
      <c r="A194" s="13">
        <v>117</v>
      </c>
      <c r="B194" s="13" t="s">
        <v>101</v>
      </c>
      <c r="C194" s="13">
        <v>2</v>
      </c>
      <c r="D194" s="13" t="s">
        <v>103</v>
      </c>
      <c r="E194" s="13">
        <v>19</v>
      </c>
      <c r="F194" s="13">
        <v>25</v>
      </c>
      <c r="G194" s="13">
        <v>6</v>
      </c>
      <c r="H194" s="13">
        <v>443000</v>
      </c>
      <c r="I194" s="13">
        <v>27172.733999999899</v>
      </c>
      <c r="J194" s="13">
        <v>9857.8198507783309</v>
      </c>
      <c r="K194" s="13">
        <v>27172.733999999899</v>
      </c>
      <c r="L194" s="13">
        <v>507203.28785077803</v>
      </c>
      <c r="M194" s="13">
        <v>886</v>
      </c>
      <c r="N194" s="13">
        <v>3986.99999999999</v>
      </c>
      <c r="O194" s="13">
        <v>360</v>
      </c>
      <c r="P194" s="13">
        <v>300</v>
      </c>
      <c r="Q194" s="13">
        <v>5533</v>
      </c>
      <c r="R194" s="13">
        <v>4430</v>
      </c>
      <c r="S194" s="13">
        <v>6086.4394542093396</v>
      </c>
      <c r="T194" s="13">
        <v>13290</v>
      </c>
      <c r="U194" s="13">
        <v>15216.0986355233</v>
      </c>
      <c r="V194" s="15">
        <f t="shared" si="8"/>
        <v>64203.287850778026</v>
      </c>
    </row>
    <row r="195" spans="1:22" x14ac:dyDescent="0.2">
      <c r="A195" s="13">
        <v>118</v>
      </c>
      <c r="B195" s="13" t="s">
        <v>101</v>
      </c>
      <c r="C195" s="13">
        <v>2</v>
      </c>
      <c r="D195" s="13" t="s">
        <v>103</v>
      </c>
      <c r="E195" s="13">
        <v>19</v>
      </c>
      <c r="F195" s="13">
        <v>25</v>
      </c>
      <c r="G195" s="13">
        <v>6</v>
      </c>
      <c r="H195" s="13">
        <v>443000</v>
      </c>
      <c r="I195" s="13">
        <v>27172.733999999899</v>
      </c>
      <c r="J195" s="13">
        <v>9857.8198507783309</v>
      </c>
      <c r="K195" s="13">
        <v>27172.733999999899</v>
      </c>
      <c r="L195" s="13">
        <v>507203.28785077803</v>
      </c>
      <c r="M195" s="13">
        <v>886</v>
      </c>
      <c r="N195" s="13">
        <v>3986.99999999999</v>
      </c>
      <c r="O195" s="13">
        <v>360</v>
      </c>
      <c r="P195" s="13">
        <v>300</v>
      </c>
      <c r="Q195" s="13">
        <v>5533</v>
      </c>
      <c r="R195" s="13">
        <v>4430</v>
      </c>
      <c r="S195" s="13">
        <v>6086.4394542093396</v>
      </c>
      <c r="T195" s="13">
        <v>13290</v>
      </c>
      <c r="U195" s="13">
        <v>15216.0986355233</v>
      </c>
      <c r="V195" s="15">
        <f t="shared" si="8"/>
        <v>64203.287850778026</v>
      </c>
    </row>
    <row r="196" spans="1:22" x14ac:dyDescent="0.2">
      <c r="A196" s="13">
        <v>122</v>
      </c>
      <c r="B196" s="13" t="s">
        <v>101</v>
      </c>
      <c r="C196" s="13">
        <v>2</v>
      </c>
      <c r="D196" s="13" t="s">
        <v>104</v>
      </c>
      <c r="E196" s="13">
        <v>19</v>
      </c>
      <c r="F196" s="13">
        <v>25</v>
      </c>
      <c r="G196" s="13">
        <v>6</v>
      </c>
      <c r="H196" s="13">
        <v>676000</v>
      </c>
      <c r="I196" s="13">
        <v>34553.74</v>
      </c>
      <c r="J196" s="13">
        <v>16693.871778868899</v>
      </c>
      <c r="K196" s="13">
        <v>34553.74</v>
      </c>
      <c r="L196" s="13">
        <v>761801.351778868</v>
      </c>
      <c r="M196" s="13">
        <v>1352</v>
      </c>
      <c r="N196" s="13">
        <v>6083.99999999999</v>
      </c>
      <c r="O196" s="13">
        <v>360</v>
      </c>
      <c r="P196" s="13">
        <v>300</v>
      </c>
      <c r="Q196" s="13">
        <v>8095.99999999999</v>
      </c>
      <c r="R196" s="13">
        <v>6760</v>
      </c>
      <c r="S196" s="13">
        <v>9141.6162213464195</v>
      </c>
      <c r="T196" s="13">
        <v>20280</v>
      </c>
      <c r="U196" s="13">
        <v>22854.040553366001</v>
      </c>
      <c r="V196" s="15">
        <f t="shared" si="8"/>
        <v>85801.351778868004</v>
      </c>
    </row>
    <row r="197" spans="1:22" x14ac:dyDescent="0.2">
      <c r="A197" s="13">
        <v>123</v>
      </c>
      <c r="B197" s="13" t="s">
        <v>101</v>
      </c>
      <c r="C197" s="13">
        <v>2</v>
      </c>
      <c r="D197" s="13" t="s">
        <v>104</v>
      </c>
      <c r="E197" s="13">
        <v>19</v>
      </c>
      <c r="F197" s="13">
        <v>25</v>
      </c>
      <c r="G197" s="13">
        <v>6</v>
      </c>
      <c r="H197" s="13">
        <v>676000</v>
      </c>
      <c r="I197" s="13">
        <v>34553.74</v>
      </c>
      <c r="J197" s="13">
        <v>16693.871778868899</v>
      </c>
      <c r="K197" s="13">
        <v>34553.74</v>
      </c>
      <c r="L197" s="13">
        <v>761801.351778868</v>
      </c>
      <c r="M197" s="13">
        <v>1352</v>
      </c>
      <c r="N197" s="13">
        <v>6083.99999999999</v>
      </c>
      <c r="O197" s="13">
        <v>360</v>
      </c>
      <c r="P197" s="13">
        <v>300</v>
      </c>
      <c r="Q197" s="13">
        <v>8095.99999999999</v>
      </c>
      <c r="R197" s="13">
        <v>6760</v>
      </c>
      <c r="S197" s="13">
        <v>9141.6162213464195</v>
      </c>
      <c r="T197" s="13">
        <v>20280</v>
      </c>
      <c r="U197" s="13">
        <v>22854.040553366001</v>
      </c>
      <c r="V197" s="15">
        <f t="shared" si="8"/>
        <v>85801.351778868004</v>
      </c>
    </row>
    <row r="198" spans="1:22" x14ac:dyDescent="0.2">
      <c r="A198" s="13">
        <v>124</v>
      </c>
      <c r="B198" s="13" t="s">
        <v>101</v>
      </c>
      <c r="C198" s="13">
        <v>2</v>
      </c>
      <c r="D198" s="13" t="s">
        <v>104</v>
      </c>
      <c r="E198" s="13">
        <v>19</v>
      </c>
      <c r="F198" s="13">
        <v>25</v>
      </c>
      <c r="G198" s="13">
        <v>6</v>
      </c>
      <c r="H198" s="13">
        <v>676000</v>
      </c>
      <c r="I198" s="13">
        <v>34553.74</v>
      </c>
      <c r="J198" s="13">
        <v>16693.871778868899</v>
      </c>
      <c r="K198" s="13">
        <v>34553.74</v>
      </c>
      <c r="L198" s="13">
        <v>761801.351778868</v>
      </c>
      <c r="M198" s="13">
        <v>1352</v>
      </c>
      <c r="N198" s="13">
        <v>6083.99999999999</v>
      </c>
      <c r="O198" s="13">
        <v>360</v>
      </c>
      <c r="P198" s="13">
        <v>300</v>
      </c>
      <c r="Q198" s="13">
        <v>8095.99999999999</v>
      </c>
      <c r="R198" s="13">
        <v>6760</v>
      </c>
      <c r="S198" s="13">
        <v>9141.6162213464195</v>
      </c>
      <c r="T198" s="13">
        <v>20280</v>
      </c>
      <c r="U198" s="13">
        <v>22854.040553366001</v>
      </c>
      <c r="V198" s="15">
        <f t="shared" si="8"/>
        <v>85801.351778868004</v>
      </c>
    </row>
    <row r="199" spans="1:22" x14ac:dyDescent="0.2">
      <c r="A199" s="13">
        <v>125</v>
      </c>
      <c r="B199" s="13" t="s">
        <v>101</v>
      </c>
      <c r="C199" s="13">
        <v>2</v>
      </c>
      <c r="D199" s="13" t="s">
        <v>102</v>
      </c>
      <c r="E199" s="13">
        <v>20</v>
      </c>
      <c r="F199" s="13">
        <v>25</v>
      </c>
      <c r="G199" s="13">
        <v>5</v>
      </c>
      <c r="H199" s="13">
        <v>338000</v>
      </c>
      <c r="I199" s="13">
        <v>27642.991999999998</v>
      </c>
      <c r="J199" s="13">
        <v>5568.9637343662098</v>
      </c>
      <c r="K199" s="13">
        <v>27642.991999999998</v>
      </c>
      <c r="L199" s="13">
        <v>398854.947734366</v>
      </c>
      <c r="M199" s="13">
        <v>563.33333333333303</v>
      </c>
      <c r="N199" s="13">
        <v>2534.99999999999</v>
      </c>
      <c r="O199" s="13">
        <v>300</v>
      </c>
      <c r="P199" s="13">
        <v>250</v>
      </c>
      <c r="Q199" s="13">
        <v>3648.3333333333298</v>
      </c>
      <c r="R199" s="13">
        <v>3380</v>
      </c>
      <c r="S199" s="13">
        <v>4786.2593728123902</v>
      </c>
      <c r="T199" s="13">
        <v>10140</v>
      </c>
      <c r="U199" s="13">
        <v>11965.648432030899</v>
      </c>
      <c r="V199" s="15">
        <f t="shared" si="8"/>
        <v>60854.947734365996</v>
      </c>
    </row>
    <row r="200" spans="1:22" x14ac:dyDescent="0.2">
      <c r="A200" s="13">
        <v>128</v>
      </c>
      <c r="B200" s="13" t="s">
        <v>101</v>
      </c>
      <c r="C200" s="13">
        <v>2</v>
      </c>
      <c r="D200" s="13" t="s">
        <v>102</v>
      </c>
      <c r="E200" s="13">
        <v>20</v>
      </c>
      <c r="F200" s="13">
        <v>25</v>
      </c>
      <c r="G200" s="13">
        <v>5</v>
      </c>
      <c r="H200" s="13">
        <v>338000</v>
      </c>
      <c r="I200" s="13">
        <v>27642.991999999998</v>
      </c>
      <c r="J200" s="13">
        <v>5568.9637343662098</v>
      </c>
      <c r="K200" s="13">
        <v>27642.991999999998</v>
      </c>
      <c r="L200" s="13">
        <v>398854.947734366</v>
      </c>
      <c r="M200" s="13">
        <v>563.33333333333303</v>
      </c>
      <c r="N200" s="13">
        <v>2534.99999999999</v>
      </c>
      <c r="O200" s="13">
        <v>300</v>
      </c>
      <c r="P200" s="13">
        <v>250</v>
      </c>
      <c r="Q200" s="13">
        <v>3648.3333333333298</v>
      </c>
      <c r="R200" s="13">
        <v>3380</v>
      </c>
      <c r="S200" s="13">
        <v>4786.2593728123902</v>
      </c>
      <c r="T200" s="13">
        <v>10140</v>
      </c>
      <c r="U200" s="13">
        <v>11965.648432030899</v>
      </c>
      <c r="V200" s="15">
        <f t="shared" si="8"/>
        <v>60854.947734365996</v>
      </c>
    </row>
    <row r="201" spans="1:22" x14ac:dyDescent="0.2">
      <c r="A201" s="13">
        <v>129</v>
      </c>
      <c r="B201" s="13" t="s">
        <v>101</v>
      </c>
      <c r="C201" s="13">
        <v>2</v>
      </c>
      <c r="D201" s="13" t="s">
        <v>102</v>
      </c>
      <c r="E201" s="13">
        <v>20</v>
      </c>
      <c r="F201" s="13">
        <v>25</v>
      </c>
      <c r="G201" s="13">
        <v>5</v>
      </c>
      <c r="H201" s="13">
        <v>338000</v>
      </c>
      <c r="I201" s="13">
        <v>27642.991999999998</v>
      </c>
      <c r="J201" s="13">
        <v>5568.9637343662098</v>
      </c>
      <c r="K201" s="13">
        <v>27642.991999999998</v>
      </c>
      <c r="L201" s="13">
        <v>398854.947734366</v>
      </c>
      <c r="M201" s="13">
        <v>563.33333333333303</v>
      </c>
      <c r="N201" s="13">
        <v>2534.99999999999</v>
      </c>
      <c r="O201" s="13">
        <v>300</v>
      </c>
      <c r="P201" s="13">
        <v>250</v>
      </c>
      <c r="Q201" s="13">
        <v>3648.3333333333298</v>
      </c>
      <c r="R201" s="13">
        <v>3380</v>
      </c>
      <c r="S201" s="13">
        <v>4786.2593728123902</v>
      </c>
      <c r="T201" s="13">
        <v>10140</v>
      </c>
      <c r="U201" s="13">
        <v>11965.648432030899</v>
      </c>
      <c r="V201" s="15">
        <f t="shared" si="8"/>
        <v>60854.947734365996</v>
      </c>
    </row>
    <row r="202" spans="1:22" x14ac:dyDescent="0.2">
      <c r="A202" s="13">
        <v>130</v>
      </c>
      <c r="B202" s="13" t="s">
        <v>101</v>
      </c>
      <c r="C202" s="13">
        <v>2</v>
      </c>
      <c r="D202" s="13" t="s">
        <v>102</v>
      </c>
      <c r="E202" s="13">
        <v>20</v>
      </c>
      <c r="F202" s="13">
        <v>25</v>
      </c>
      <c r="G202" s="13">
        <v>5</v>
      </c>
      <c r="H202" s="13">
        <v>338000</v>
      </c>
      <c r="I202" s="13">
        <v>27642.991999999998</v>
      </c>
      <c r="J202" s="13">
        <v>5568.9637343662098</v>
      </c>
      <c r="K202" s="13">
        <v>27642.991999999998</v>
      </c>
      <c r="L202" s="13">
        <v>398854.947734366</v>
      </c>
      <c r="M202" s="13">
        <v>563.33333333333303</v>
      </c>
      <c r="N202" s="13">
        <v>2534.99999999999</v>
      </c>
      <c r="O202" s="13">
        <v>300</v>
      </c>
      <c r="P202" s="13">
        <v>250</v>
      </c>
      <c r="Q202" s="13">
        <v>3648.3333333333298</v>
      </c>
      <c r="R202" s="13">
        <v>3380</v>
      </c>
      <c r="S202" s="13">
        <v>4786.2593728123902</v>
      </c>
      <c r="T202" s="13">
        <v>10140</v>
      </c>
      <c r="U202" s="13">
        <v>11965.648432030899</v>
      </c>
      <c r="V202" s="15">
        <f t="shared" si="8"/>
        <v>60854.947734365996</v>
      </c>
    </row>
    <row r="203" spans="1:22" x14ac:dyDescent="0.2">
      <c r="A203" s="13">
        <v>131</v>
      </c>
      <c r="B203" s="13" t="s">
        <v>101</v>
      </c>
      <c r="C203" s="13">
        <v>2</v>
      </c>
      <c r="D203" s="13" t="s">
        <v>102</v>
      </c>
      <c r="E203" s="13">
        <v>20</v>
      </c>
      <c r="F203" s="13">
        <v>25</v>
      </c>
      <c r="G203" s="13">
        <v>5</v>
      </c>
      <c r="H203" s="13">
        <v>338000</v>
      </c>
      <c r="I203" s="13">
        <v>27642.991999999998</v>
      </c>
      <c r="J203" s="13">
        <v>5568.9637343662098</v>
      </c>
      <c r="K203" s="13">
        <v>27642.991999999998</v>
      </c>
      <c r="L203" s="13">
        <v>398854.947734366</v>
      </c>
      <c r="M203" s="13">
        <v>563.33333333333303</v>
      </c>
      <c r="N203" s="13">
        <v>2534.99999999999</v>
      </c>
      <c r="O203" s="13">
        <v>300</v>
      </c>
      <c r="P203" s="13">
        <v>250</v>
      </c>
      <c r="Q203" s="13">
        <v>3648.3333333333298</v>
      </c>
      <c r="R203" s="13">
        <v>3380</v>
      </c>
      <c r="S203" s="13">
        <v>4786.2593728123902</v>
      </c>
      <c r="T203" s="13">
        <v>10140</v>
      </c>
      <c r="U203" s="13">
        <v>11965.648432030899</v>
      </c>
      <c r="V203" s="15">
        <f t="shared" si="8"/>
        <v>60854.947734365996</v>
      </c>
    </row>
    <row r="204" spans="1:22" x14ac:dyDescent="0.2">
      <c r="A204" s="13">
        <v>138</v>
      </c>
      <c r="B204" s="13" t="s">
        <v>101</v>
      </c>
      <c r="C204" s="13">
        <v>2</v>
      </c>
      <c r="D204" s="13" t="s">
        <v>103</v>
      </c>
      <c r="E204" s="13">
        <v>20</v>
      </c>
      <c r="F204" s="13">
        <v>25</v>
      </c>
      <c r="G204" s="13">
        <v>5</v>
      </c>
      <c r="H204" s="13">
        <v>443000</v>
      </c>
      <c r="I204" s="13">
        <v>27172.733999999899</v>
      </c>
      <c r="J204" s="13">
        <v>8199.7467798370599</v>
      </c>
      <c r="K204" s="13">
        <v>27172.733999999899</v>
      </c>
      <c r="L204" s="13">
        <v>505545.214779837</v>
      </c>
      <c r="M204" s="13">
        <v>738.33333333333303</v>
      </c>
      <c r="N204" s="13">
        <v>3322.49999999999</v>
      </c>
      <c r="O204" s="13">
        <v>300</v>
      </c>
      <c r="P204" s="13">
        <v>250</v>
      </c>
      <c r="Q204" s="13">
        <v>4610.8333333333303</v>
      </c>
      <c r="R204" s="13">
        <v>4430</v>
      </c>
      <c r="S204" s="13">
        <v>6066.54257735804</v>
      </c>
      <c r="T204" s="13">
        <v>13290</v>
      </c>
      <c r="U204" s="13">
        <v>15166.3564433951</v>
      </c>
      <c r="V204" s="15">
        <f t="shared" si="8"/>
        <v>62545.214779836999</v>
      </c>
    </row>
    <row r="205" spans="1:22" x14ac:dyDescent="0.2">
      <c r="A205" s="13">
        <v>142</v>
      </c>
      <c r="B205" s="13" t="s">
        <v>101</v>
      </c>
      <c r="C205" s="13">
        <v>2</v>
      </c>
      <c r="D205" s="13" t="s">
        <v>103</v>
      </c>
      <c r="E205" s="13">
        <v>20</v>
      </c>
      <c r="F205" s="13">
        <v>25</v>
      </c>
      <c r="G205" s="13">
        <v>5</v>
      </c>
      <c r="H205" s="13">
        <v>443000</v>
      </c>
      <c r="I205" s="13">
        <v>27172.733999999899</v>
      </c>
      <c r="J205" s="13">
        <v>8199.7467798370599</v>
      </c>
      <c r="K205" s="13">
        <v>27172.733999999899</v>
      </c>
      <c r="L205" s="13">
        <v>505545.214779837</v>
      </c>
      <c r="M205" s="13">
        <v>738.33333333333303</v>
      </c>
      <c r="N205" s="13">
        <v>3322.49999999999</v>
      </c>
      <c r="O205" s="13">
        <v>300</v>
      </c>
      <c r="P205" s="13">
        <v>250</v>
      </c>
      <c r="Q205" s="13">
        <v>4610.8333333333303</v>
      </c>
      <c r="R205" s="13">
        <v>4430</v>
      </c>
      <c r="S205" s="13">
        <v>6066.54257735804</v>
      </c>
      <c r="T205" s="13">
        <v>13290</v>
      </c>
      <c r="U205" s="13">
        <v>15166.3564433951</v>
      </c>
      <c r="V205" s="15">
        <f t="shared" si="8"/>
        <v>62545.214779836999</v>
      </c>
    </row>
    <row r="206" spans="1:22" x14ac:dyDescent="0.2">
      <c r="A206" s="13">
        <v>143</v>
      </c>
      <c r="B206" s="13" t="s">
        <v>101</v>
      </c>
      <c r="C206" s="13">
        <v>2</v>
      </c>
      <c r="D206" s="13" t="s">
        <v>103</v>
      </c>
      <c r="E206" s="13">
        <v>20</v>
      </c>
      <c r="F206" s="13">
        <v>25</v>
      </c>
      <c r="G206" s="13">
        <v>5</v>
      </c>
      <c r="H206" s="13">
        <v>443000</v>
      </c>
      <c r="I206" s="13">
        <v>27172.733999999899</v>
      </c>
      <c r="J206" s="13">
        <v>8199.7467798370599</v>
      </c>
      <c r="K206" s="13">
        <v>27172.733999999899</v>
      </c>
      <c r="L206" s="13">
        <v>505545.214779837</v>
      </c>
      <c r="M206" s="13">
        <v>738.33333333333303</v>
      </c>
      <c r="N206" s="13">
        <v>3322.49999999999</v>
      </c>
      <c r="O206" s="13">
        <v>300</v>
      </c>
      <c r="P206" s="13">
        <v>250</v>
      </c>
      <c r="Q206" s="13">
        <v>4610.8333333333303</v>
      </c>
      <c r="R206" s="13">
        <v>4430</v>
      </c>
      <c r="S206" s="13">
        <v>6066.54257735804</v>
      </c>
      <c r="T206" s="13">
        <v>13290</v>
      </c>
      <c r="U206" s="13">
        <v>15166.3564433951</v>
      </c>
      <c r="V206" s="15">
        <f t="shared" si="8"/>
        <v>62545.214779836999</v>
      </c>
    </row>
    <row r="207" spans="1:22" x14ac:dyDescent="0.2">
      <c r="A207" s="13">
        <v>150</v>
      </c>
      <c r="B207" s="13" t="s">
        <v>101</v>
      </c>
      <c r="C207" s="13">
        <v>2</v>
      </c>
      <c r="D207" s="13" t="s">
        <v>102</v>
      </c>
      <c r="E207" s="13">
        <v>21</v>
      </c>
      <c r="F207" s="13">
        <v>25</v>
      </c>
      <c r="G207" s="13">
        <v>4</v>
      </c>
      <c r="H207" s="13">
        <v>338000</v>
      </c>
      <c r="I207" s="13">
        <v>27642.991999999998</v>
      </c>
      <c r="J207" s="13">
        <v>4447.8784912198998</v>
      </c>
      <c r="K207" s="13">
        <v>27642.991999999998</v>
      </c>
      <c r="L207" s="13">
        <v>397733.86249121901</v>
      </c>
      <c r="M207" s="13">
        <v>450.666666666666</v>
      </c>
      <c r="N207" s="13">
        <v>2027.99999999999</v>
      </c>
      <c r="O207" s="13">
        <v>240</v>
      </c>
      <c r="P207" s="13">
        <v>200</v>
      </c>
      <c r="Q207" s="13">
        <v>2918.6666666666601</v>
      </c>
      <c r="R207" s="13">
        <v>3380</v>
      </c>
      <c r="S207" s="13">
        <v>4772.8063498946303</v>
      </c>
      <c r="T207" s="13">
        <v>10140</v>
      </c>
      <c r="U207" s="13">
        <v>11932.0158747365</v>
      </c>
      <c r="V207" s="15">
        <f t="shared" si="8"/>
        <v>59733.862491219013</v>
      </c>
    </row>
    <row r="208" spans="1:22" x14ac:dyDescent="0.2">
      <c r="A208" s="13">
        <v>153</v>
      </c>
      <c r="B208" s="13" t="s">
        <v>101</v>
      </c>
      <c r="C208" s="13">
        <v>2</v>
      </c>
      <c r="D208" s="13" t="s">
        <v>102</v>
      </c>
      <c r="E208" s="13">
        <v>21</v>
      </c>
      <c r="F208" s="13">
        <v>25</v>
      </c>
      <c r="G208" s="13">
        <v>4</v>
      </c>
      <c r="H208" s="13">
        <v>338000</v>
      </c>
      <c r="I208" s="13">
        <v>27642.991999999998</v>
      </c>
      <c r="J208" s="13">
        <v>4447.8784912198998</v>
      </c>
      <c r="K208" s="13">
        <v>27642.991999999998</v>
      </c>
      <c r="L208" s="13">
        <v>397733.86249121901</v>
      </c>
      <c r="M208" s="13">
        <v>450.666666666666</v>
      </c>
      <c r="N208" s="13">
        <v>2027.99999999999</v>
      </c>
      <c r="O208" s="13">
        <v>240</v>
      </c>
      <c r="P208" s="13">
        <v>200</v>
      </c>
      <c r="Q208" s="13">
        <v>2918.6666666666601</v>
      </c>
      <c r="R208" s="13">
        <v>3380</v>
      </c>
      <c r="S208" s="13">
        <v>4772.8063498946303</v>
      </c>
      <c r="T208" s="13">
        <v>10140</v>
      </c>
      <c r="U208" s="13">
        <v>11932.0158747365</v>
      </c>
      <c r="V208" s="15">
        <f t="shared" si="8"/>
        <v>59733.862491219013</v>
      </c>
    </row>
    <row r="209" spans="1:22" x14ac:dyDescent="0.2">
      <c r="A209" s="13">
        <v>154</v>
      </c>
      <c r="B209" s="13" t="s">
        <v>101</v>
      </c>
      <c r="C209" s="13">
        <v>2</v>
      </c>
      <c r="D209" s="13" t="s">
        <v>102</v>
      </c>
      <c r="E209" s="13">
        <v>21</v>
      </c>
      <c r="F209" s="13">
        <v>25</v>
      </c>
      <c r="G209" s="13">
        <v>4</v>
      </c>
      <c r="H209" s="13">
        <v>338000</v>
      </c>
      <c r="I209" s="13">
        <v>27642.991999999998</v>
      </c>
      <c r="J209" s="13">
        <v>4447.8784912198998</v>
      </c>
      <c r="K209" s="13">
        <v>27642.991999999998</v>
      </c>
      <c r="L209" s="13">
        <v>397733.86249121901</v>
      </c>
      <c r="M209" s="13">
        <v>450.666666666666</v>
      </c>
      <c r="N209" s="13">
        <v>2027.99999999999</v>
      </c>
      <c r="O209" s="13">
        <v>240</v>
      </c>
      <c r="P209" s="13">
        <v>200</v>
      </c>
      <c r="Q209" s="13">
        <v>2918.6666666666601</v>
      </c>
      <c r="R209" s="13">
        <v>3380</v>
      </c>
      <c r="S209" s="13">
        <v>4772.8063498946303</v>
      </c>
      <c r="T209" s="13">
        <v>10140</v>
      </c>
      <c r="U209" s="13">
        <v>11932.0158747365</v>
      </c>
      <c r="V209" s="15">
        <f t="shared" si="8"/>
        <v>59733.862491219013</v>
      </c>
    </row>
    <row r="210" spans="1:22" x14ac:dyDescent="0.2">
      <c r="A210" s="13">
        <v>36</v>
      </c>
      <c r="B210" s="13" t="s">
        <v>136</v>
      </c>
      <c r="C210" s="13">
        <v>2</v>
      </c>
      <c r="D210" s="13" t="s">
        <v>103</v>
      </c>
      <c r="E210" s="13">
        <v>18</v>
      </c>
      <c r="F210" s="13">
        <v>25</v>
      </c>
      <c r="G210" s="13">
        <v>7</v>
      </c>
      <c r="H210" s="13">
        <v>405000</v>
      </c>
      <c r="I210" s="13">
        <v>32400</v>
      </c>
      <c r="J210" s="13">
        <v>8209.4329593602797</v>
      </c>
      <c r="K210" s="13">
        <v>28350</v>
      </c>
      <c r="L210" s="13">
        <v>473959.43295936001</v>
      </c>
      <c r="M210" s="13">
        <v>1181.25</v>
      </c>
      <c r="N210" s="13">
        <v>2598.75</v>
      </c>
      <c r="O210" s="13">
        <v>350</v>
      </c>
      <c r="P210" s="13">
        <v>280</v>
      </c>
      <c r="Q210" s="13">
        <v>4410</v>
      </c>
      <c r="R210" s="13">
        <v>4050</v>
      </c>
      <c r="S210" s="13">
        <v>4739.5943295936004</v>
      </c>
      <c r="T210" s="13">
        <v>12150</v>
      </c>
      <c r="U210" s="13">
        <v>14218.7829887808</v>
      </c>
      <c r="V210" s="15">
        <f t="shared" si="8"/>
        <v>68959.432959360012</v>
      </c>
    </row>
    <row r="211" spans="1:22" x14ac:dyDescent="0.2">
      <c r="A211" s="13">
        <v>38</v>
      </c>
      <c r="B211" s="13" t="s">
        <v>136</v>
      </c>
      <c r="C211" s="13">
        <v>2</v>
      </c>
      <c r="D211" s="13" t="s">
        <v>103</v>
      </c>
      <c r="E211" s="13">
        <v>18</v>
      </c>
      <c r="F211" s="13">
        <v>25</v>
      </c>
      <c r="G211" s="13">
        <v>7</v>
      </c>
      <c r="H211" s="13">
        <v>405000</v>
      </c>
      <c r="I211" s="13">
        <v>32400</v>
      </c>
      <c r="J211" s="13">
        <v>8209.4329593602797</v>
      </c>
      <c r="K211" s="13">
        <v>28350</v>
      </c>
      <c r="L211" s="13">
        <v>473959.43295936001</v>
      </c>
      <c r="M211" s="13">
        <v>1181.25</v>
      </c>
      <c r="N211" s="13">
        <v>2598.75</v>
      </c>
      <c r="O211" s="13">
        <v>350</v>
      </c>
      <c r="P211" s="13">
        <v>280</v>
      </c>
      <c r="Q211" s="13">
        <v>4410</v>
      </c>
      <c r="R211" s="13">
        <v>4050</v>
      </c>
      <c r="S211" s="13">
        <v>4739.5943295936004</v>
      </c>
      <c r="T211" s="13">
        <v>12150</v>
      </c>
      <c r="U211" s="13">
        <v>14218.7829887808</v>
      </c>
      <c r="V211" s="15">
        <f t="shared" si="8"/>
        <v>68959.432959360012</v>
      </c>
    </row>
    <row r="212" spans="1:22" x14ac:dyDescent="0.2">
      <c r="A212" s="13">
        <v>39</v>
      </c>
      <c r="B212" s="13" t="s">
        <v>136</v>
      </c>
      <c r="C212" s="13">
        <v>2</v>
      </c>
      <c r="D212" s="13" t="s">
        <v>103</v>
      </c>
      <c r="E212" s="13">
        <v>18</v>
      </c>
      <c r="F212" s="13">
        <v>25</v>
      </c>
      <c r="G212" s="13">
        <v>7</v>
      </c>
      <c r="H212" s="13">
        <v>405000</v>
      </c>
      <c r="I212" s="13">
        <v>32400</v>
      </c>
      <c r="J212" s="13">
        <v>8209.4329593602797</v>
      </c>
      <c r="K212" s="13">
        <v>28350</v>
      </c>
      <c r="L212" s="13">
        <v>473959.43295936001</v>
      </c>
      <c r="M212" s="13">
        <v>1181.25</v>
      </c>
      <c r="N212" s="13">
        <v>2598.75</v>
      </c>
      <c r="O212" s="13">
        <v>350</v>
      </c>
      <c r="P212" s="13">
        <v>280</v>
      </c>
      <c r="Q212" s="13">
        <v>4410</v>
      </c>
      <c r="R212" s="13">
        <v>4050</v>
      </c>
      <c r="S212" s="13">
        <v>4739.5943295936004</v>
      </c>
      <c r="T212" s="13">
        <v>12150</v>
      </c>
      <c r="U212" s="13">
        <v>14218.7829887808</v>
      </c>
      <c r="V212" s="15">
        <f t="shared" si="8"/>
        <v>68959.432959360012</v>
      </c>
    </row>
    <row r="213" spans="1:22" x14ac:dyDescent="0.2">
      <c r="A213" s="13">
        <v>42</v>
      </c>
      <c r="B213" s="13" t="s">
        <v>136</v>
      </c>
      <c r="C213" s="13">
        <v>2</v>
      </c>
      <c r="D213" s="13" t="s">
        <v>103</v>
      </c>
      <c r="E213" s="13">
        <v>18</v>
      </c>
      <c r="F213" s="13">
        <v>25</v>
      </c>
      <c r="G213" s="13">
        <v>7</v>
      </c>
      <c r="H213" s="13">
        <v>405000</v>
      </c>
      <c r="I213" s="13">
        <v>32400</v>
      </c>
      <c r="J213" s="13">
        <v>8209.4329593602797</v>
      </c>
      <c r="K213" s="13">
        <v>28350</v>
      </c>
      <c r="L213" s="13">
        <v>473959.43295936001</v>
      </c>
      <c r="M213" s="13">
        <v>1181.25</v>
      </c>
      <c r="N213" s="13">
        <v>2598.75</v>
      </c>
      <c r="O213" s="13">
        <v>350</v>
      </c>
      <c r="P213" s="13">
        <v>280</v>
      </c>
      <c r="Q213" s="13">
        <v>4410</v>
      </c>
      <c r="R213" s="13">
        <v>4050</v>
      </c>
      <c r="S213" s="13">
        <v>4739.5943295936004</v>
      </c>
      <c r="T213" s="13">
        <v>12150</v>
      </c>
      <c r="U213" s="13">
        <v>14218.7829887808</v>
      </c>
      <c r="V213" s="15">
        <f t="shared" si="8"/>
        <v>68959.432959360012</v>
      </c>
    </row>
    <row r="214" spans="1:22" x14ac:dyDescent="0.2">
      <c r="A214" s="13">
        <v>43</v>
      </c>
      <c r="B214" s="13" t="s">
        <v>136</v>
      </c>
      <c r="C214" s="13">
        <v>2</v>
      </c>
      <c r="D214" s="13" t="s">
        <v>103</v>
      </c>
      <c r="E214" s="13">
        <v>18</v>
      </c>
      <c r="F214" s="13">
        <v>25</v>
      </c>
      <c r="G214" s="13">
        <v>7</v>
      </c>
      <c r="H214" s="13">
        <v>405000</v>
      </c>
      <c r="I214" s="13">
        <v>32400</v>
      </c>
      <c r="J214" s="13">
        <v>8209.4329593602797</v>
      </c>
      <c r="K214" s="13">
        <v>28350</v>
      </c>
      <c r="L214" s="13">
        <v>473959.43295936001</v>
      </c>
      <c r="M214" s="13">
        <v>1181.25</v>
      </c>
      <c r="N214" s="13">
        <v>2598.75</v>
      </c>
      <c r="O214" s="13">
        <v>350</v>
      </c>
      <c r="P214" s="13">
        <v>280</v>
      </c>
      <c r="Q214" s="13">
        <v>4410</v>
      </c>
      <c r="R214" s="13">
        <v>4050</v>
      </c>
      <c r="S214" s="13">
        <v>4739.5943295936004</v>
      </c>
      <c r="T214" s="13">
        <v>12150</v>
      </c>
      <c r="U214" s="13">
        <v>14218.7829887808</v>
      </c>
      <c r="V214" s="15">
        <f t="shared" si="8"/>
        <v>68959.432959360012</v>
      </c>
    </row>
    <row r="215" spans="1:22" x14ac:dyDescent="0.2">
      <c r="A215" s="13">
        <v>45</v>
      </c>
      <c r="B215" s="13" t="s">
        <v>136</v>
      </c>
      <c r="C215" s="13">
        <v>2</v>
      </c>
      <c r="D215" s="13" t="s">
        <v>103</v>
      </c>
      <c r="E215" s="13">
        <v>18</v>
      </c>
      <c r="F215" s="13">
        <v>25</v>
      </c>
      <c r="G215" s="13">
        <v>7</v>
      </c>
      <c r="H215" s="13">
        <v>405000</v>
      </c>
      <c r="I215" s="13">
        <v>32400</v>
      </c>
      <c r="J215" s="13">
        <v>8209.4329593602797</v>
      </c>
      <c r="K215" s="13">
        <v>28350</v>
      </c>
      <c r="L215" s="13">
        <v>473959.43295936001</v>
      </c>
      <c r="M215" s="13">
        <v>1181.25</v>
      </c>
      <c r="N215" s="13">
        <v>2598.75</v>
      </c>
      <c r="O215" s="13">
        <v>350</v>
      </c>
      <c r="P215" s="13">
        <v>280</v>
      </c>
      <c r="Q215" s="13">
        <v>4410</v>
      </c>
      <c r="R215" s="13">
        <v>4050</v>
      </c>
      <c r="S215" s="13">
        <v>4739.5943295936004</v>
      </c>
      <c r="T215" s="13">
        <v>12150</v>
      </c>
      <c r="U215" s="13">
        <v>14218.7829887808</v>
      </c>
      <c r="V215" s="15">
        <f t="shared" si="8"/>
        <v>68959.432959360012</v>
      </c>
    </row>
    <row r="216" spans="1:22" x14ac:dyDescent="0.2">
      <c r="A216" s="13">
        <v>47</v>
      </c>
      <c r="B216" s="13" t="s">
        <v>136</v>
      </c>
      <c r="C216" s="13">
        <v>2</v>
      </c>
      <c r="D216" s="13" t="s">
        <v>104</v>
      </c>
      <c r="E216" s="13">
        <v>18</v>
      </c>
      <c r="F216" s="13">
        <v>25</v>
      </c>
      <c r="G216" s="13">
        <v>7</v>
      </c>
      <c r="H216" s="13">
        <v>630000</v>
      </c>
      <c r="I216" s="13">
        <v>37800</v>
      </c>
      <c r="J216" s="13">
        <v>14579.759454704799</v>
      </c>
      <c r="K216" s="13">
        <v>37800</v>
      </c>
      <c r="L216" s="13">
        <v>720179.75945470401</v>
      </c>
      <c r="M216" s="13">
        <v>1837.5</v>
      </c>
      <c r="N216" s="13">
        <v>4042.5</v>
      </c>
      <c r="O216" s="13">
        <v>350</v>
      </c>
      <c r="P216" s="13">
        <v>280</v>
      </c>
      <c r="Q216" s="13">
        <v>6510</v>
      </c>
      <c r="R216" s="13">
        <v>6300</v>
      </c>
      <c r="S216" s="13">
        <v>7201.7975945470398</v>
      </c>
      <c r="T216" s="13">
        <v>18900</v>
      </c>
      <c r="U216" s="13">
        <v>21605.392783641099</v>
      </c>
      <c r="V216" s="15">
        <f t="shared" si="8"/>
        <v>90179.759454704006</v>
      </c>
    </row>
    <row r="217" spans="1:22" x14ac:dyDescent="0.2">
      <c r="A217" s="13">
        <v>49</v>
      </c>
      <c r="B217" s="13" t="s">
        <v>136</v>
      </c>
      <c r="C217" s="13">
        <v>2</v>
      </c>
      <c r="D217" s="13" t="s">
        <v>102</v>
      </c>
      <c r="E217" s="13">
        <v>19</v>
      </c>
      <c r="F217" s="13">
        <v>25</v>
      </c>
      <c r="G217" s="13">
        <v>6</v>
      </c>
      <c r="H217" s="13">
        <v>305000</v>
      </c>
      <c r="I217" s="13">
        <v>30500</v>
      </c>
      <c r="J217" s="13">
        <v>4541.1927353126903</v>
      </c>
      <c r="K217" s="13">
        <v>27450</v>
      </c>
      <c r="L217" s="13">
        <v>367491.19273531198</v>
      </c>
      <c r="M217" s="13">
        <v>762.5</v>
      </c>
      <c r="N217" s="13">
        <v>1677.5</v>
      </c>
      <c r="O217" s="13">
        <v>300</v>
      </c>
      <c r="P217" s="13">
        <v>240</v>
      </c>
      <c r="Q217" s="13">
        <v>2980</v>
      </c>
      <c r="R217" s="13">
        <v>3050</v>
      </c>
      <c r="S217" s="13">
        <v>3674.9119273531201</v>
      </c>
      <c r="T217" s="13">
        <v>9150</v>
      </c>
      <c r="U217" s="13">
        <v>11024.735782059301</v>
      </c>
      <c r="V217" s="15">
        <f t="shared" si="8"/>
        <v>62491.192735311983</v>
      </c>
    </row>
    <row r="218" spans="1:22" x14ac:dyDescent="0.2">
      <c r="A218" s="13">
        <v>51</v>
      </c>
      <c r="B218" s="13" t="s">
        <v>136</v>
      </c>
      <c r="C218" s="13">
        <v>2</v>
      </c>
      <c r="D218" s="13" t="s">
        <v>102</v>
      </c>
      <c r="E218" s="13">
        <v>19</v>
      </c>
      <c r="F218" s="13">
        <v>25</v>
      </c>
      <c r="G218" s="13">
        <v>6</v>
      </c>
      <c r="H218" s="13">
        <v>305000</v>
      </c>
      <c r="I218" s="13">
        <v>30500</v>
      </c>
      <c r="J218" s="13">
        <v>4541.1927353126903</v>
      </c>
      <c r="K218" s="13">
        <v>27450</v>
      </c>
      <c r="L218" s="13">
        <v>367491.19273531198</v>
      </c>
      <c r="M218" s="13">
        <v>762.5</v>
      </c>
      <c r="N218" s="13">
        <v>1677.5</v>
      </c>
      <c r="O218" s="13">
        <v>300</v>
      </c>
      <c r="P218" s="13">
        <v>240</v>
      </c>
      <c r="Q218" s="13">
        <v>2980</v>
      </c>
      <c r="R218" s="13">
        <v>3050</v>
      </c>
      <c r="S218" s="13">
        <v>3674.9119273531201</v>
      </c>
      <c r="T218" s="13">
        <v>9150</v>
      </c>
      <c r="U218" s="13">
        <v>11024.735782059301</v>
      </c>
      <c r="V218" s="15">
        <f t="shared" si="8"/>
        <v>62491.192735311983</v>
      </c>
    </row>
    <row r="219" spans="1:22" x14ac:dyDescent="0.2">
      <c r="A219" s="13">
        <v>52</v>
      </c>
      <c r="B219" s="13" t="s">
        <v>136</v>
      </c>
      <c r="C219" s="13">
        <v>2</v>
      </c>
      <c r="D219" s="13" t="s">
        <v>102</v>
      </c>
      <c r="E219" s="13">
        <v>19</v>
      </c>
      <c r="F219" s="13">
        <v>25</v>
      </c>
      <c r="G219" s="13">
        <v>6</v>
      </c>
      <c r="H219" s="13">
        <v>305000</v>
      </c>
      <c r="I219" s="13">
        <v>30500</v>
      </c>
      <c r="J219" s="13">
        <v>4541.1927353126903</v>
      </c>
      <c r="K219" s="13">
        <v>27450</v>
      </c>
      <c r="L219" s="13">
        <v>367491.19273531198</v>
      </c>
      <c r="M219" s="13">
        <v>762.5</v>
      </c>
      <c r="N219" s="13">
        <v>1677.5</v>
      </c>
      <c r="O219" s="13">
        <v>300</v>
      </c>
      <c r="P219" s="13">
        <v>240</v>
      </c>
      <c r="Q219" s="13">
        <v>2980</v>
      </c>
      <c r="R219" s="13">
        <v>3050</v>
      </c>
      <c r="S219" s="13">
        <v>3674.9119273531201</v>
      </c>
      <c r="T219" s="13">
        <v>9150</v>
      </c>
      <c r="U219" s="13">
        <v>11024.735782059301</v>
      </c>
      <c r="V219" s="15">
        <f t="shared" si="8"/>
        <v>62491.192735311983</v>
      </c>
    </row>
    <row r="220" spans="1:22" x14ac:dyDescent="0.2">
      <c r="A220" s="13">
        <v>58</v>
      </c>
      <c r="B220" s="13" t="s">
        <v>136</v>
      </c>
      <c r="C220" s="13">
        <v>2</v>
      </c>
      <c r="D220" s="13" t="s">
        <v>102</v>
      </c>
      <c r="E220" s="13">
        <v>19</v>
      </c>
      <c r="F220" s="13">
        <v>25</v>
      </c>
      <c r="G220" s="13">
        <v>6</v>
      </c>
      <c r="H220" s="13">
        <v>305000</v>
      </c>
      <c r="I220" s="13">
        <v>30500</v>
      </c>
      <c r="J220" s="13">
        <v>4541.1927353126903</v>
      </c>
      <c r="K220" s="13">
        <v>27450</v>
      </c>
      <c r="L220" s="13">
        <v>367491.19273531198</v>
      </c>
      <c r="M220" s="13">
        <v>762.5</v>
      </c>
      <c r="N220" s="13">
        <v>1677.5</v>
      </c>
      <c r="O220" s="13">
        <v>300</v>
      </c>
      <c r="P220" s="13">
        <v>240</v>
      </c>
      <c r="Q220" s="13">
        <v>2980</v>
      </c>
      <c r="R220" s="13">
        <v>3050</v>
      </c>
      <c r="S220" s="13">
        <v>3674.9119273531201</v>
      </c>
      <c r="T220" s="13">
        <v>9150</v>
      </c>
      <c r="U220" s="13">
        <v>11024.735782059301</v>
      </c>
      <c r="V220" s="15">
        <f t="shared" si="8"/>
        <v>62491.192735311983</v>
      </c>
    </row>
    <row r="221" spans="1:22" x14ac:dyDescent="0.2">
      <c r="A221" s="13">
        <v>63</v>
      </c>
      <c r="B221" s="13" t="s">
        <v>136</v>
      </c>
      <c r="C221" s="13">
        <v>2</v>
      </c>
      <c r="D221" s="13" t="s">
        <v>103</v>
      </c>
      <c r="E221" s="13">
        <v>19</v>
      </c>
      <c r="F221" s="13">
        <v>25</v>
      </c>
      <c r="G221" s="13">
        <v>6</v>
      </c>
      <c r="H221" s="13">
        <v>405000</v>
      </c>
      <c r="I221" s="13">
        <v>32400</v>
      </c>
      <c r="J221" s="13">
        <v>7026.5464748600298</v>
      </c>
      <c r="K221" s="13">
        <v>28350</v>
      </c>
      <c r="L221" s="13">
        <v>472776.54647485999</v>
      </c>
      <c r="M221" s="13">
        <v>1012.5</v>
      </c>
      <c r="N221" s="13">
        <v>2227.5</v>
      </c>
      <c r="O221" s="13">
        <v>300</v>
      </c>
      <c r="P221" s="13">
        <v>240</v>
      </c>
      <c r="Q221" s="13">
        <v>3780</v>
      </c>
      <c r="R221" s="13">
        <v>4050</v>
      </c>
      <c r="S221" s="13">
        <v>4727.7654647485997</v>
      </c>
      <c r="T221" s="13">
        <v>12150</v>
      </c>
      <c r="U221" s="13">
        <v>14183.296394245799</v>
      </c>
      <c r="V221" s="15">
        <f t="shared" si="8"/>
        <v>67776.546474859992</v>
      </c>
    </row>
    <row r="222" spans="1:22" x14ac:dyDescent="0.2">
      <c r="A222" s="13">
        <v>64</v>
      </c>
      <c r="B222" s="13" t="s">
        <v>136</v>
      </c>
      <c r="C222" s="13">
        <v>2</v>
      </c>
      <c r="D222" s="13" t="s">
        <v>103</v>
      </c>
      <c r="E222" s="13">
        <v>19</v>
      </c>
      <c r="F222" s="13">
        <v>25</v>
      </c>
      <c r="G222" s="13">
        <v>6</v>
      </c>
      <c r="H222" s="13">
        <v>405000</v>
      </c>
      <c r="I222" s="13">
        <v>32400</v>
      </c>
      <c r="J222" s="13">
        <v>7026.5464748600298</v>
      </c>
      <c r="K222" s="13">
        <v>28350</v>
      </c>
      <c r="L222" s="13">
        <v>472776.54647485999</v>
      </c>
      <c r="M222" s="13">
        <v>1012.5</v>
      </c>
      <c r="N222" s="13">
        <v>2227.5</v>
      </c>
      <c r="O222" s="13">
        <v>300</v>
      </c>
      <c r="P222" s="13">
        <v>240</v>
      </c>
      <c r="Q222" s="13">
        <v>3780</v>
      </c>
      <c r="R222" s="13">
        <v>4050</v>
      </c>
      <c r="S222" s="13">
        <v>4727.7654647485997</v>
      </c>
      <c r="T222" s="13">
        <v>12150</v>
      </c>
      <c r="U222" s="13">
        <v>14183.296394245799</v>
      </c>
      <c r="V222" s="15">
        <f t="shared" si="8"/>
        <v>67776.546474859992</v>
      </c>
    </row>
    <row r="223" spans="1:22" x14ac:dyDescent="0.2">
      <c r="A223" s="13">
        <v>65</v>
      </c>
      <c r="B223" s="13" t="s">
        <v>136</v>
      </c>
      <c r="C223" s="13">
        <v>2</v>
      </c>
      <c r="D223" s="13" t="s">
        <v>103</v>
      </c>
      <c r="E223" s="13">
        <v>19</v>
      </c>
      <c r="F223" s="13">
        <v>25</v>
      </c>
      <c r="G223" s="13">
        <v>6</v>
      </c>
      <c r="H223" s="13">
        <v>405000</v>
      </c>
      <c r="I223" s="13">
        <v>32400</v>
      </c>
      <c r="J223" s="13">
        <v>7026.5464748600298</v>
      </c>
      <c r="K223" s="13">
        <v>28350</v>
      </c>
      <c r="L223" s="13">
        <v>472776.54647485999</v>
      </c>
      <c r="M223" s="13">
        <v>1012.5</v>
      </c>
      <c r="N223" s="13">
        <v>2227.5</v>
      </c>
      <c r="O223" s="13">
        <v>300</v>
      </c>
      <c r="P223" s="13">
        <v>240</v>
      </c>
      <c r="Q223" s="13">
        <v>3780</v>
      </c>
      <c r="R223" s="13">
        <v>4050</v>
      </c>
      <c r="S223" s="13">
        <v>4727.7654647485997</v>
      </c>
      <c r="T223" s="13">
        <v>12150</v>
      </c>
      <c r="U223" s="13">
        <v>14183.296394245799</v>
      </c>
      <c r="V223" s="15">
        <f t="shared" si="8"/>
        <v>67776.546474859992</v>
      </c>
    </row>
    <row r="224" spans="1:22" x14ac:dyDescent="0.2">
      <c r="A224" s="13">
        <v>69</v>
      </c>
      <c r="B224" s="13" t="s">
        <v>136</v>
      </c>
      <c r="C224" s="13">
        <v>2</v>
      </c>
      <c r="D224" s="13" t="s">
        <v>103</v>
      </c>
      <c r="E224" s="13">
        <v>19</v>
      </c>
      <c r="F224" s="13">
        <v>25</v>
      </c>
      <c r="G224" s="13">
        <v>6</v>
      </c>
      <c r="H224" s="13">
        <v>405000</v>
      </c>
      <c r="I224" s="13">
        <v>32400</v>
      </c>
      <c r="J224" s="13">
        <v>7026.5464748600298</v>
      </c>
      <c r="K224" s="13">
        <v>28350</v>
      </c>
      <c r="L224" s="13">
        <v>472776.54647485999</v>
      </c>
      <c r="M224" s="13">
        <v>1012.5</v>
      </c>
      <c r="N224" s="13">
        <v>2227.5</v>
      </c>
      <c r="O224" s="13">
        <v>300</v>
      </c>
      <c r="P224" s="13">
        <v>240</v>
      </c>
      <c r="Q224" s="13">
        <v>3780</v>
      </c>
      <c r="R224" s="13">
        <v>4050</v>
      </c>
      <c r="S224" s="13">
        <v>4727.7654647485997</v>
      </c>
      <c r="T224" s="13">
        <v>12150</v>
      </c>
      <c r="U224" s="13">
        <v>14183.296394245799</v>
      </c>
      <c r="V224" s="15">
        <f t="shared" si="8"/>
        <v>67776.546474859992</v>
      </c>
    </row>
    <row r="225" spans="1:22" x14ac:dyDescent="0.2">
      <c r="A225" s="13">
        <v>75</v>
      </c>
      <c r="B225" s="13" t="s">
        <v>136</v>
      </c>
      <c r="C225" s="13">
        <v>2</v>
      </c>
      <c r="D225" s="13" t="s">
        <v>104</v>
      </c>
      <c r="E225" s="13">
        <v>19</v>
      </c>
      <c r="F225" s="13">
        <v>25</v>
      </c>
      <c r="G225" s="13">
        <v>6</v>
      </c>
      <c r="H225" s="13">
        <v>630000</v>
      </c>
      <c r="I225" s="13">
        <v>37800</v>
      </c>
      <c r="J225" s="13">
        <v>12476.458712690899</v>
      </c>
      <c r="K225" s="13">
        <v>37800</v>
      </c>
      <c r="L225" s="13">
        <v>718076.45871269098</v>
      </c>
      <c r="M225" s="13">
        <v>1575</v>
      </c>
      <c r="N225" s="13">
        <v>3465</v>
      </c>
      <c r="O225" s="13">
        <v>300</v>
      </c>
      <c r="P225" s="13">
        <v>240</v>
      </c>
      <c r="Q225" s="13">
        <v>5580</v>
      </c>
      <c r="R225" s="13">
        <v>6300</v>
      </c>
      <c r="S225" s="13">
        <v>7180.7645871269096</v>
      </c>
      <c r="T225" s="13">
        <v>18900</v>
      </c>
      <c r="U225" s="13">
        <v>21542.293761380701</v>
      </c>
      <c r="V225" s="15">
        <f t="shared" si="8"/>
        <v>88076.458712690976</v>
      </c>
    </row>
    <row r="226" spans="1:22" x14ac:dyDescent="0.2">
      <c r="A226" s="13">
        <v>77</v>
      </c>
      <c r="B226" s="13" t="s">
        <v>136</v>
      </c>
      <c r="C226" s="13">
        <v>2</v>
      </c>
      <c r="D226" s="13" t="s">
        <v>102</v>
      </c>
      <c r="E226" s="13">
        <v>20</v>
      </c>
      <c r="F226" s="13">
        <v>25</v>
      </c>
      <c r="G226" s="13">
        <v>5</v>
      </c>
      <c r="H226" s="13">
        <v>305000</v>
      </c>
      <c r="I226" s="13">
        <v>30500</v>
      </c>
      <c r="J226" s="13">
        <v>3779.6587965205999</v>
      </c>
      <c r="K226" s="13">
        <v>27450</v>
      </c>
      <c r="L226" s="13">
        <v>366729.65879651997</v>
      </c>
      <c r="M226" s="13">
        <v>635.41666666666595</v>
      </c>
      <c r="N226" s="13">
        <v>1397.9166666666599</v>
      </c>
      <c r="O226" s="13">
        <v>250</v>
      </c>
      <c r="P226" s="13">
        <v>200</v>
      </c>
      <c r="Q226" s="13">
        <v>2483.3333333333298</v>
      </c>
      <c r="R226" s="13">
        <v>3050</v>
      </c>
      <c r="S226" s="13">
        <v>3667.2965879652002</v>
      </c>
      <c r="T226" s="13">
        <v>9150</v>
      </c>
      <c r="U226" s="13">
        <v>11001.8897638956</v>
      </c>
      <c r="V226" s="15">
        <f t="shared" si="8"/>
        <v>61729.658796519972</v>
      </c>
    </row>
    <row r="227" spans="1:22" x14ac:dyDescent="0.2">
      <c r="A227" s="13">
        <v>81</v>
      </c>
      <c r="B227" s="13" t="s">
        <v>136</v>
      </c>
      <c r="C227" s="13">
        <v>2</v>
      </c>
      <c r="D227" s="13" t="s">
        <v>102</v>
      </c>
      <c r="E227" s="13">
        <v>20</v>
      </c>
      <c r="F227" s="13">
        <v>25</v>
      </c>
      <c r="G227" s="13">
        <v>5</v>
      </c>
      <c r="H227" s="13">
        <v>305000</v>
      </c>
      <c r="I227" s="13">
        <v>30500</v>
      </c>
      <c r="J227" s="13">
        <v>3779.6587965205999</v>
      </c>
      <c r="K227" s="13">
        <v>27450</v>
      </c>
      <c r="L227" s="13">
        <v>366729.65879651997</v>
      </c>
      <c r="M227" s="13">
        <v>635.41666666666595</v>
      </c>
      <c r="N227" s="13">
        <v>1397.9166666666599</v>
      </c>
      <c r="O227" s="13">
        <v>250</v>
      </c>
      <c r="P227" s="13">
        <v>200</v>
      </c>
      <c r="Q227" s="13">
        <v>2483.3333333333298</v>
      </c>
      <c r="R227" s="13">
        <v>3050</v>
      </c>
      <c r="S227" s="13">
        <v>3667.2965879652002</v>
      </c>
      <c r="T227" s="13">
        <v>9150</v>
      </c>
      <c r="U227" s="13">
        <v>11001.8897638956</v>
      </c>
      <c r="V227" s="15">
        <f t="shared" si="8"/>
        <v>61729.658796519972</v>
      </c>
    </row>
    <row r="228" spans="1:22" x14ac:dyDescent="0.2">
      <c r="A228" s="13">
        <v>82</v>
      </c>
      <c r="B228" s="13" t="s">
        <v>136</v>
      </c>
      <c r="C228" s="13">
        <v>2</v>
      </c>
      <c r="D228" s="13" t="s">
        <v>102</v>
      </c>
      <c r="E228" s="13">
        <v>20</v>
      </c>
      <c r="F228" s="13">
        <v>25</v>
      </c>
      <c r="G228" s="13">
        <v>5</v>
      </c>
      <c r="H228" s="13">
        <v>305000</v>
      </c>
      <c r="I228" s="13">
        <v>30500</v>
      </c>
      <c r="J228" s="13">
        <v>3779.6587965205999</v>
      </c>
      <c r="K228" s="13">
        <v>27450</v>
      </c>
      <c r="L228" s="13">
        <v>366729.65879651997</v>
      </c>
      <c r="M228" s="13">
        <v>635.41666666666595</v>
      </c>
      <c r="N228" s="13">
        <v>1397.9166666666599</v>
      </c>
      <c r="O228" s="13">
        <v>250</v>
      </c>
      <c r="P228" s="13">
        <v>200</v>
      </c>
      <c r="Q228" s="13">
        <v>2483.3333333333298</v>
      </c>
      <c r="R228" s="13">
        <v>3050</v>
      </c>
      <c r="S228" s="13">
        <v>3667.2965879652002</v>
      </c>
      <c r="T228" s="13">
        <v>9150</v>
      </c>
      <c r="U228" s="13">
        <v>11001.8897638956</v>
      </c>
      <c r="V228" s="15">
        <f t="shared" si="8"/>
        <v>61729.658796519972</v>
      </c>
    </row>
    <row r="229" spans="1:22" x14ac:dyDescent="0.2">
      <c r="A229" s="13">
        <v>85</v>
      </c>
      <c r="B229" s="13" t="s">
        <v>136</v>
      </c>
      <c r="C229" s="13">
        <v>2</v>
      </c>
      <c r="D229" s="13" t="s">
        <v>102</v>
      </c>
      <c r="E229" s="13">
        <v>20</v>
      </c>
      <c r="F229" s="13">
        <v>25</v>
      </c>
      <c r="G229" s="13">
        <v>5</v>
      </c>
      <c r="H229" s="13">
        <v>305000</v>
      </c>
      <c r="I229" s="13">
        <v>30500</v>
      </c>
      <c r="J229" s="13">
        <v>3779.6587965205999</v>
      </c>
      <c r="K229" s="13">
        <v>27450</v>
      </c>
      <c r="L229" s="13">
        <v>366729.65879651997</v>
      </c>
      <c r="M229" s="13">
        <v>635.41666666666595</v>
      </c>
      <c r="N229" s="13">
        <v>1397.9166666666599</v>
      </c>
      <c r="O229" s="13">
        <v>250</v>
      </c>
      <c r="P229" s="13">
        <v>200</v>
      </c>
      <c r="Q229" s="13">
        <v>2483.3333333333298</v>
      </c>
      <c r="R229" s="13">
        <v>3050</v>
      </c>
      <c r="S229" s="13">
        <v>3667.2965879652002</v>
      </c>
      <c r="T229" s="13">
        <v>9150</v>
      </c>
      <c r="U229" s="13">
        <v>11001.8897638956</v>
      </c>
      <c r="V229" s="15">
        <f t="shared" si="8"/>
        <v>61729.658796519972</v>
      </c>
    </row>
    <row r="230" spans="1:22" x14ac:dyDescent="0.2">
      <c r="A230" s="13">
        <v>86</v>
      </c>
      <c r="B230" s="13" t="s">
        <v>136</v>
      </c>
      <c r="C230" s="13">
        <v>2</v>
      </c>
      <c r="D230" s="13" t="s">
        <v>102</v>
      </c>
      <c r="E230" s="13">
        <v>20</v>
      </c>
      <c r="F230" s="13">
        <v>25</v>
      </c>
      <c r="G230" s="13">
        <v>5</v>
      </c>
      <c r="H230" s="13">
        <v>305000</v>
      </c>
      <c r="I230" s="13">
        <v>30500</v>
      </c>
      <c r="J230" s="13">
        <v>3779.6587965205999</v>
      </c>
      <c r="K230" s="13">
        <v>27450</v>
      </c>
      <c r="L230" s="13">
        <v>366729.65879651997</v>
      </c>
      <c r="M230" s="13">
        <v>635.41666666666595</v>
      </c>
      <c r="N230" s="13">
        <v>1397.9166666666599</v>
      </c>
      <c r="O230" s="13">
        <v>250</v>
      </c>
      <c r="P230" s="13">
        <v>200</v>
      </c>
      <c r="Q230" s="13">
        <v>2483.3333333333298</v>
      </c>
      <c r="R230" s="13">
        <v>3050</v>
      </c>
      <c r="S230" s="13">
        <v>3667.2965879652002</v>
      </c>
      <c r="T230" s="13">
        <v>9150</v>
      </c>
      <c r="U230" s="13">
        <v>11001.8897638956</v>
      </c>
      <c r="V230" s="15">
        <f t="shared" si="8"/>
        <v>61729.658796519972</v>
      </c>
    </row>
    <row r="231" spans="1:22" x14ac:dyDescent="0.2">
      <c r="A231" s="13">
        <v>94</v>
      </c>
      <c r="B231" s="13" t="s">
        <v>136</v>
      </c>
      <c r="C231" s="13">
        <v>2</v>
      </c>
      <c r="D231" s="13" t="s">
        <v>103</v>
      </c>
      <c r="E231" s="13">
        <v>20</v>
      </c>
      <c r="F231" s="13">
        <v>25</v>
      </c>
      <c r="G231" s="13">
        <v>5</v>
      </c>
      <c r="H231" s="13">
        <v>405000</v>
      </c>
      <c r="I231" s="13">
        <v>32400</v>
      </c>
      <c r="J231" s="13">
        <v>5847.0462161416699</v>
      </c>
      <c r="K231" s="13">
        <v>28350</v>
      </c>
      <c r="L231" s="13">
        <v>471597.04621614103</v>
      </c>
      <c r="M231" s="13">
        <v>843.75</v>
      </c>
      <c r="N231" s="13">
        <v>1856.25</v>
      </c>
      <c r="O231" s="13">
        <v>250</v>
      </c>
      <c r="P231" s="13">
        <v>200</v>
      </c>
      <c r="Q231" s="13">
        <v>3150</v>
      </c>
      <c r="R231" s="13">
        <v>4050</v>
      </c>
      <c r="S231" s="13">
        <v>4715.9704621614101</v>
      </c>
      <c r="T231" s="13">
        <v>12150</v>
      </c>
      <c r="U231" s="13">
        <v>14147.9113864842</v>
      </c>
      <c r="V231" s="15">
        <f t="shared" si="8"/>
        <v>66597.046216141025</v>
      </c>
    </row>
    <row r="232" spans="1:22" x14ac:dyDescent="0.2">
      <c r="A232" s="13">
        <v>97</v>
      </c>
      <c r="B232" s="13" t="s">
        <v>136</v>
      </c>
      <c r="C232" s="13">
        <v>2</v>
      </c>
      <c r="D232" s="13" t="s">
        <v>103</v>
      </c>
      <c r="E232" s="13">
        <v>20</v>
      </c>
      <c r="F232" s="13">
        <v>25</v>
      </c>
      <c r="G232" s="13">
        <v>5</v>
      </c>
      <c r="H232" s="13">
        <v>405000</v>
      </c>
      <c r="I232" s="13">
        <v>32400</v>
      </c>
      <c r="J232" s="13">
        <v>5847.0462161416699</v>
      </c>
      <c r="K232" s="13">
        <v>28350</v>
      </c>
      <c r="L232" s="13">
        <v>471597.04621614103</v>
      </c>
      <c r="M232" s="13">
        <v>843.75</v>
      </c>
      <c r="N232" s="13">
        <v>1856.25</v>
      </c>
      <c r="O232" s="13">
        <v>250</v>
      </c>
      <c r="P232" s="13">
        <v>200</v>
      </c>
      <c r="Q232" s="13">
        <v>3150</v>
      </c>
      <c r="R232" s="13">
        <v>4050</v>
      </c>
      <c r="S232" s="13">
        <v>4715.9704621614101</v>
      </c>
      <c r="T232" s="13">
        <v>12150</v>
      </c>
      <c r="U232" s="13">
        <v>14147.9113864842</v>
      </c>
      <c r="V232" s="15">
        <f t="shared" si="8"/>
        <v>66597.046216141025</v>
      </c>
    </row>
    <row r="233" spans="1:22" x14ac:dyDescent="0.2">
      <c r="A233" s="13">
        <v>101</v>
      </c>
      <c r="B233" s="13" t="s">
        <v>136</v>
      </c>
      <c r="C233" s="13">
        <v>2</v>
      </c>
      <c r="D233" s="13" t="s">
        <v>103</v>
      </c>
      <c r="E233" s="13">
        <v>20</v>
      </c>
      <c r="F233" s="13">
        <v>25</v>
      </c>
      <c r="G233" s="13">
        <v>5</v>
      </c>
      <c r="H233" s="13">
        <v>405000</v>
      </c>
      <c r="I233" s="13">
        <v>32400</v>
      </c>
      <c r="J233" s="13">
        <v>5847.0462161416699</v>
      </c>
      <c r="K233" s="13">
        <v>28350</v>
      </c>
      <c r="L233" s="13">
        <v>471597.04621614103</v>
      </c>
      <c r="M233" s="13">
        <v>843.75</v>
      </c>
      <c r="N233" s="13">
        <v>1856.25</v>
      </c>
      <c r="O233" s="13">
        <v>250</v>
      </c>
      <c r="P233" s="13">
        <v>200</v>
      </c>
      <c r="Q233" s="13">
        <v>3150</v>
      </c>
      <c r="R233" s="13">
        <v>4050</v>
      </c>
      <c r="S233" s="13">
        <v>4715.9704621614101</v>
      </c>
      <c r="T233" s="13">
        <v>12150</v>
      </c>
      <c r="U233" s="13">
        <v>14147.9113864842</v>
      </c>
      <c r="V233" s="15">
        <f t="shared" si="8"/>
        <v>66597.046216141025</v>
      </c>
    </row>
    <row r="234" spans="1:22" x14ac:dyDescent="0.2">
      <c r="A234" s="13">
        <v>102</v>
      </c>
      <c r="B234" s="13" t="s">
        <v>136</v>
      </c>
      <c r="C234" s="13">
        <v>2</v>
      </c>
      <c r="D234" s="13" t="s">
        <v>103</v>
      </c>
      <c r="E234" s="13">
        <v>20</v>
      </c>
      <c r="F234" s="13">
        <v>25</v>
      </c>
      <c r="G234" s="13">
        <v>5</v>
      </c>
      <c r="H234" s="13">
        <v>405000</v>
      </c>
      <c r="I234" s="13">
        <v>32400</v>
      </c>
      <c r="J234" s="13">
        <v>5847.0462161416699</v>
      </c>
      <c r="K234" s="13">
        <v>28350</v>
      </c>
      <c r="L234" s="13">
        <v>471597.04621614103</v>
      </c>
      <c r="M234" s="13">
        <v>843.75</v>
      </c>
      <c r="N234" s="13">
        <v>1856.25</v>
      </c>
      <c r="O234" s="13">
        <v>250</v>
      </c>
      <c r="P234" s="13">
        <v>200</v>
      </c>
      <c r="Q234" s="13">
        <v>3150</v>
      </c>
      <c r="R234" s="13">
        <v>4050</v>
      </c>
      <c r="S234" s="13">
        <v>4715.9704621614101</v>
      </c>
      <c r="T234" s="13">
        <v>12150</v>
      </c>
      <c r="U234" s="13">
        <v>14147.9113864842</v>
      </c>
      <c r="V234" s="15">
        <f t="shared" si="8"/>
        <v>66597.046216141025</v>
      </c>
    </row>
    <row r="235" spans="1:22" x14ac:dyDescent="0.2">
      <c r="V235" s="14">
        <f>SUM(V190:V234)</f>
        <v>3026276.1890435698</v>
      </c>
    </row>
    <row r="236" spans="1:22" x14ac:dyDescent="0.2">
      <c r="A236" s="13">
        <v>136</v>
      </c>
      <c r="B236" s="13" t="s">
        <v>101</v>
      </c>
      <c r="C236" s="13">
        <v>2</v>
      </c>
      <c r="D236" s="13" t="s">
        <v>103</v>
      </c>
      <c r="E236" s="13">
        <v>20</v>
      </c>
      <c r="F236" s="13">
        <v>26</v>
      </c>
      <c r="G236" s="13">
        <v>6</v>
      </c>
      <c r="H236" s="13">
        <v>443000</v>
      </c>
      <c r="I236" s="13">
        <v>27172.733999999899</v>
      </c>
      <c r="J236" s="13">
        <v>9857.8198507783309</v>
      </c>
      <c r="K236" s="13">
        <v>27172.733999999899</v>
      </c>
      <c r="L236" s="13">
        <v>507203.28785077803</v>
      </c>
      <c r="M236" s="13">
        <v>886</v>
      </c>
      <c r="N236" s="13">
        <v>3986.99999999999</v>
      </c>
      <c r="O236" s="13">
        <v>360</v>
      </c>
      <c r="P236" s="13">
        <v>300</v>
      </c>
      <c r="Q236" s="13">
        <v>5533</v>
      </c>
      <c r="R236" s="13">
        <v>4430</v>
      </c>
      <c r="S236" s="13">
        <v>6086.4394542093396</v>
      </c>
      <c r="T236" s="13">
        <v>13290</v>
      </c>
      <c r="U236" s="13">
        <v>15216.0986355233</v>
      </c>
      <c r="V236" s="15">
        <f t="shared" ref="V236:V277" si="9">L236-H236</f>
        <v>64203.287850778026</v>
      </c>
    </row>
    <row r="237" spans="1:22" x14ac:dyDescent="0.2">
      <c r="A237" s="13">
        <v>137</v>
      </c>
      <c r="B237" s="13" t="s">
        <v>101</v>
      </c>
      <c r="C237" s="13">
        <v>2</v>
      </c>
      <c r="D237" s="13" t="s">
        <v>103</v>
      </c>
      <c r="E237" s="13">
        <v>20</v>
      </c>
      <c r="F237" s="13">
        <v>26</v>
      </c>
      <c r="G237" s="13">
        <v>6</v>
      </c>
      <c r="H237" s="13">
        <v>443000</v>
      </c>
      <c r="I237" s="13">
        <v>27172.733999999899</v>
      </c>
      <c r="J237" s="13">
        <v>9857.8198507783309</v>
      </c>
      <c r="K237" s="13">
        <v>27172.733999999899</v>
      </c>
      <c r="L237" s="13">
        <v>507203.28785077803</v>
      </c>
      <c r="M237" s="13">
        <v>886</v>
      </c>
      <c r="N237" s="13">
        <v>3986.99999999999</v>
      </c>
      <c r="O237" s="13">
        <v>360</v>
      </c>
      <c r="P237" s="13">
        <v>300</v>
      </c>
      <c r="Q237" s="13">
        <v>5533</v>
      </c>
      <c r="R237" s="13">
        <v>4430</v>
      </c>
      <c r="S237" s="13">
        <v>6086.4394542093396</v>
      </c>
      <c r="T237" s="13">
        <v>13290</v>
      </c>
      <c r="U237" s="13">
        <v>15216.0986355233</v>
      </c>
      <c r="V237" s="15">
        <f t="shared" si="9"/>
        <v>64203.287850778026</v>
      </c>
    </row>
    <row r="238" spans="1:22" x14ac:dyDescent="0.2">
      <c r="A238" s="13">
        <v>140</v>
      </c>
      <c r="B238" s="13" t="s">
        <v>101</v>
      </c>
      <c r="C238" s="13">
        <v>2</v>
      </c>
      <c r="D238" s="13" t="s">
        <v>103</v>
      </c>
      <c r="E238" s="13">
        <v>20</v>
      </c>
      <c r="F238" s="13">
        <v>26</v>
      </c>
      <c r="G238" s="13">
        <v>6</v>
      </c>
      <c r="H238" s="13">
        <v>443000</v>
      </c>
      <c r="I238" s="13">
        <v>27172.733999999899</v>
      </c>
      <c r="J238" s="13">
        <v>9857.8198507783309</v>
      </c>
      <c r="K238" s="13">
        <v>27172.733999999899</v>
      </c>
      <c r="L238" s="13">
        <v>507203.28785077803</v>
      </c>
      <c r="M238" s="13">
        <v>886</v>
      </c>
      <c r="N238" s="13">
        <v>3986.99999999999</v>
      </c>
      <c r="O238" s="13">
        <v>360</v>
      </c>
      <c r="P238" s="13">
        <v>300</v>
      </c>
      <c r="Q238" s="13">
        <v>5533</v>
      </c>
      <c r="R238" s="13">
        <v>4430</v>
      </c>
      <c r="S238" s="13">
        <v>6086.4394542093396</v>
      </c>
      <c r="T238" s="13">
        <v>13290</v>
      </c>
      <c r="U238" s="13">
        <v>15216.0986355233</v>
      </c>
      <c r="V238" s="15">
        <f t="shared" si="9"/>
        <v>64203.287850778026</v>
      </c>
    </row>
    <row r="239" spans="1:22" x14ac:dyDescent="0.2">
      <c r="A239" s="13">
        <v>141</v>
      </c>
      <c r="B239" s="13" t="s">
        <v>101</v>
      </c>
      <c r="C239" s="13">
        <v>2</v>
      </c>
      <c r="D239" s="13" t="s">
        <v>103</v>
      </c>
      <c r="E239" s="13">
        <v>20</v>
      </c>
      <c r="F239" s="13">
        <v>26</v>
      </c>
      <c r="G239" s="13">
        <v>6</v>
      </c>
      <c r="H239" s="13">
        <v>443000</v>
      </c>
      <c r="I239" s="13">
        <v>27172.733999999899</v>
      </c>
      <c r="J239" s="13">
        <v>9857.8198507783309</v>
      </c>
      <c r="K239" s="13">
        <v>27172.733999999899</v>
      </c>
      <c r="L239" s="13">
        <v>507203.28785077803</v>
      </c>
      <c r="M239" s="13">
        <v>886</v>
      </c>
      <c r="N239" s="13">
        <v>3986.99999999999</v>
      </c>
      <c r="O239" s="13">
        <v>360</v>
      </c>
      <c r="P239" s="13">
        <v>300</v>
      </c>
      <c r="Q239" s="13">
        <v>5533</v>
      </c>
      <c r="R239" s="13">
        <v>4430</v>
      </c>
      <c r="S239" s="13">
        <v>6086.4394542093396</v>
      </c>
      <c r="T239" s="13">
        <v>13290</v>
      </c>
      <c r="U239" s="13">
        <v>15216.0986355233</v>
      </c>
      <c r="V239" s="15">
        <f t="shared" si="9"/>
        <v>64203.287850778026</v>
      </c>
    </row>
    <row r="240" spans="1:22" x14ac:dyDescent="0.2">
      <c r="A240" s="13">
        <v>145</v>
      </c>
      <c r="B240" s="13" t="s">
        <v>101</v>
      </c>
      <c r="C240" s="13">
        <v>2</v>
      </c>
      <c r="D240" s="13" t="s">
        <v>104</v>
      </c>
      <c r="E240" s="13">
        <v>20</v>
      </c>
      <c r="F240" s="13">
        <v>26</v>
      </c>
      <c r="G240" s="13">
        <v>6</v>
      </c>
      <c r="H240" s="13">
        <v>676000</v>
      </c>
      <c r="I240" s="13">
        <v>34553.74</v>
      </c>
      <c r="J240" s="13">
        <v>16693.871778868899</v>
      </c>
      <c r="K240" s="13">
        <v>34553.74</v>
      </c>
      <c r="L240" s="13">
        <v>761801.351778868</v>
      </c>
      <c r="M240" s="13">
        <v>1352</v>
      </c>
      <c r="N240" s="13">
        <v>6083.99999999999</v>
      </c>
      <c r="O240" s="13">
        <v>360</v>
      </c>
      <c r="P240" s="13">
        <v>300</v>
      </c>
      <c r="Q240" s="13">
        <v>8095.99999999999</v>
      </c>
      <c r="R240" s="13">
        <v>6760</v>
      </c>
      <c r="S240" s="13">
        <v>9141.6162213464195</v>
      </c>
      <c r="T240" s="13">
        <v>20280</v>
      </c>
      <c r="U240" s="13">
        <v>22854.040553366001</v>
      </c>
      <c r="V240" s="15">
        <f t="shared" si="9"/>
        <v>85801.351778868004</v>
      </c>
    </row>
    <row r="241" spans="1:22" x14ac:dyDescent="0.2">
      <c r="A241" s="13">
        <v>148</v>
      </c>
      <c r="B241" s="13" t="s">
        <v>101</v>
      </c>
      <c r="C241" s="13">
        <v>2</v>
      </c>
      <c r="D241" s="13" t="s">
        <v>102</v>
      </c>
      <c r="E241" s="13">
        <v>21</v>
      </c>
      <c r="F241" s="13">
        <v>26</v>
      </c>
      <c r="G241" s="13">
        <v>5</v>
      </c>
      <c r="H241" s="13">
        <v>338000</v>
      </c>
      <c r="I241" s="13">
        <v>27642.991999999998</v>
      </c>
      <c r="J241" s="13">
        <v>5568.9637343662098</v>
      </c>
      <c r="K241" s="13">
        <v>27642.991999999998</v>
      </c>
      <c r="L241" s="13">
        <v>398854.947734366</v>
      </c>
      <c r="M241" s="13">
        <v>563.33333333333303</v>
      </c>
      <c r="N241" s="13">
        <v>2534.99999999999</v>
      </c>
      <c r="O241" s="13">
        <v>300</v>
      </c>
      <c r="P241" s="13">
        <v>250</v>
      </c>
      <c r="Q241" s="13">
        <v>3648.3333333333298</v>
      </c>
      <c r="R241" s="13">
        <v>3380</v>
      </c>
      <c r="S241" s="13">
        <v>4786.2593728123902</v>
      </c>
      <c r="T241" s="13">
        <v>10140</v>
      </c>
      <c r="U241" s="13">
        <v>11965.648432030899</v>
      </c>
      <c r="V241" s="15">
        <f t="shared" si="9"/>
        <v>60854.947734365996</v>
      </c>
    </row>
    <row r="242" spans="1:22" x14ac:dyDescent="0.2">
      <c r="A242" s="13">
        <v>149</v>
      </c>
      <c r="B242" s="13" t="s">
        <v>101</v>
      </c>
      <c r="C242" s="13">
        <v>2</v>
      </c>
      <c r="D242" s="13" t="s">
        <v>102</v>
      </c>
      <c r="E242" s="13">
        <v>21</v>
      </c>
      <c r="F242" s="13">
        <v>26</v>
      </c>
      <c r="G242" s="13">
        <v>5</v>
      </c>
      <c r="H242" s="13">
        <v>338000</v>
      </c>
      <c r="I242" s="13">
        <v>27642.991999999998</v>
      </c>
      <c r="J242" s="13">
        <v>5568.9637343662098</v>
      </c>
      <c r="K242" s="13">
        <v>27642.991999999998</v>
      </c>
      <c r="L242" s="13">
        <v>398854.947734366</v>
      </c>
      <c r="M242" s="13">
        <v>563.33333333333303</v>
      </c>
      <c r="N242" s="13">
        <v>2534.99999999999</v>
      </c>
      <c r="O242" s="13">
        <v>300</v>
      </c>
      <c r="P242" s="13">
        <v>250</v>
      </c>
      <c r="Q242" s="13">
        <v>3648.3333333333298</v>
      </c>
      <c r="R242" s="13">
        <v>3380</v>
      </c>
      <c r="S242" s="13">
        <v>4786.2593728123902</v>
      </c>
      <c r="T242" s="13">
        <v>10140</v>
      </c>
      <c r="U242" s="13">
        <v>11965.648432030899</v>
      </c>
      <c r="V242" s="15">
        <f t="shared" si="9"/>
        <v>60854.947734365996</v>
      </c>
    </row>
    <row r="243" spans="1:22" x14ac:dyDescent="0.2">
      <c r="A243" s="13">
        <v>151</v>
      </c>
      <c r="B243" s="13" t="s">
        <v>101</v>
      </c>
      <c r="C243" s="13">
        <v>2</v>
      </c>
      <c r="D243" s="13" t="s">
        <v>102</v>
      </c>
      <c r="E243" s="13">
        <v>21</v>
      </c>
      <c r="F243" s="13">
        <v>26</v>
      </c>
      <c r="G243" s="13">
        <v>5</v>
      </c>
      <c r="H243" s="13">
        <v>338000</v>
      </c>
      <c r="I243" s="13">
        <v>27642.991999999998</v>
      </c>
      <c r="J243" s="13">
        <v>5568.9637343662098</v>
      </c>
      <c r="K243" s="13">
        <v>27642.991999999998</v>
      </c>
      <c r="L243" s="13">
        <v>398854.947734366</v>
      </c>
      <c r="M243" s="13">
        <v>563.33333333333303</v>
      </c>
      <c r="N243" s="13">
        <v>2534.99999999999</v>
      </c>
      <c r="O243" s="13">
        <v>300</v>
      </c>
      <c r="P243" s="13">
        <v>250</v>
      </c>
      <c r="Q243" s="13">
        <v>3648.3333333333298</v>
      </c>
      <c r="R243" s="13">
        <v>3380</v>
      </c>
      <c r="S243" s="13">
        <v>4786.2593728123902</v>
      </c>
      <c r="T243" s="13">
        <v>10140</v>
      </c>
      <c r="U243" s="13">
        <v>11965.648432030899</v>
      </c>
      <c r="V243" s="15">
        <f t="shared" si="9"/>
        <v>60854.947734365996</v>
      </c>
    </row>
    <row r="244" spans="1:22" x14ac:dyDescent="0.2">
      <c r="A244" s="13">
        <v>152</v>
      </c>
      <c r="B244" s="13" t="s">
        <v>101</v>
      </c>
      <c r="C244" s="13">
        <v>2</v>
      </c>
      <c r="D244" s="13" t="s">
        <v>102</v>
      </c>
      <c r="E244" s="13">
        <v>21</v>
      </c>
      <c r="F244" s="13">
        <v>26</v>
      </c>
      <c r="G244" s="13">
        <v>5</v>
      </c>
      <c r="H244" s="13">
        <v>338000</v>
      </c>
      <c r="I244" s="13">
        <v>27642.991999999998</v>
      </c>
      <c r="J244" s="13">
        <v>5568.9637343662098</v>
      </c>
      <c r="K244" s="13">
        <v>27642.991999999998</v>
      </c>
      <c r="L244" s="13">
        <v>398854.947734366</v>
      </c>
      <c r="M244" s="13">
        <v>563.33333333333303</v>
      </c>
      <c r="N244" s="13">
        <v>2534.99999999999</v>
      </c>
      <c r="O244" s="13">
        <v>300</v>
      </c>
      <c r="P244" s="13">
        <v>250</v>
      </c>
      <c r="Q244" s="13">
        <v>3648.3333333333298</v>
      </c>
      <c r="R244" s="13">
        <v>3380</v>
      </c>
      <c r="S244" s="13">
        <v>4786.2593728123902</v>
      </c>
      <c r="T244" s="13">
        <v>10140</v>
      </c>
      <c r="U244" s="13">
        <v>11965.648432030899</v>
      </c>
      <c r="V244" s="15">
        <f t="shared" si="9"/>
        <v>60854.947734365996</v>
      </c>
    </row>
    <row r="245" spans="1:22" x14ac:dyDescent="0.2">
      <c r="A245" s="13">
        <v>156</v>
      </c>
      <c r="B245" s="13" t="s">
        <v>101</v>
      </c>
      <c r="C245" s="13">
        <v>2</v>
      </c>
      <c r="D245" s="13" t="s">
        <v>103</v>
      </c>
      <c r="E245" s="13">
        <v>21</v>
      </c>
      <c r="F245" s="13">
        <v>26</v>
      </c>
      <c r="G245" s="13">
        <v>5</v>
      </c>
      <c r="H245" s="13">
        <v>443000</v>
      </c>
      <c r="I245" s="13">
        <v>27172.733999999899</v>
      </c>
      <c r="J245" s="13">
        <v>8199.7467798370599</v>
      </c>
      <c r="K245" s="13">
        <v>27172.733999999899</v>
      </c>
      <c r="L245" s="13">
        <v>505545.214779837</v>
      </c>
      <c r="M245" s="13">
        <v>738.33333333333303</v>
      </c>
      <c r="N245" s="13">
        <v>3322.49999999999</v>
      </c>
      <c r="O245" s="13">
        <v>300</v>
      </c>
      <c r="P245" s="13">
        <v>250</v>
      </c>
      <c r="Q245" s="13">
        <v>4610.8333333333303</v>
      </c>
      <c r="R245" s="13">
        <v>4430</v>
      </c>
      <c r="S245" s="13">
        <v>6066.54257735804</v>
      </c>
      <c r="T245" s="13">
        <v>13290</v>
      </c>
      <c r="U245" s="13">
        <v>15166.3564433951</v>
      </c>
      <c r="V245" s="15">
        <f t="shared" si="9"/>
        <v>62545.214779836999</v>
      </c>
    </row>
    <row r="246" spans="1:22" x14ac:dyDescent="0.2">
      <c r="A246" s="13">
        <v>158</v>
      </c>
      <c r="B246" s="13" t="s">
        <v>101</v>
      </c>
      <c r="C246" s="13">
        <v>2</v>
      </c>
      <c r="D246" s="13" t="s">
        <v>103</v>
      </c>
      <c r="E246" s="13">
        <v>21</v>
      </c>
      <c r="F246" s="13">
        <v>26</v>
      </c>
      <c r="G246" s="13">
        <v>5</v>
      </c>
      <c r="H246" s="13">
        <v>443000</v>
      </c>
      <c r="I246" s="13">
        <v>27172.733999999899</v>
      </c>
      <c r="J246" s="13">
        <v>8199.7467798370599</v>
      </c>
      <c r="K246" s="13">
        <v>27172.733999999899</v>
      </c>
      <c r="L246" s="13">
        <v>505545.214779837</v>
      </c>
      <c r="M246" s="13">
        <v>738.33333333333303</v>
      </c>
      <c r="N246" s="13">
        <v>3322.49999999999</v>
      </c>
      <c r="O246" s="13">
        <v>300</v>
      </c>
      <c r="P246" s="13">
        <v>250</v>
      </c>
      <c r="Q246" s="13">
        <v>4610.8333333333303</v>
      </c>
      <c r="R246" s="13">
        <v>4430</v>
      </c>
      <c r="S246" s="13">
        <v>6066.54257735804</v>
      </c>
      <c r="T246" s="13">
        <v>13290</v>
      </c>
      <c r="U246" s="13">
        <v>15166.3564433951</v>
      </c>
      <c r="V246" s="15">
        <f t="shared" si="9"/>
        <v>62545.214779836999</v>
      </c>
    </row>
    <row r="247" spans="1:22" x14ac:dyDescent="0.2">
      <c r="A247" s="13">
        <v>160</v>
      </c>
      <c r="B247" s="13" t="s">
        <v>101</v>
      </c>
      <c r="C247" s="13">
        <v>2</v>
      </c>
      <c r="D247" s="13" t="s">
        <v>103</v>
      </c>
      <c r="E247" s="13">
        <v>21</v>
      </c>
      <c r="F247" s="13">
        <v>26</v>
      </c>
      <c r="G247" s="13">
        <v>5</v>
      </c>
      <c r="H247" s="13">
        <v>443000</v>
      </c>
      <c r="I247" s="13">
        <v>27172.733999999899</v>
      </c>
      <c r="J247" s="13">
        <v>8199.7467798370599</v>
      </c>
      <c r="K247" s="13">
        <v>27172.733999999899</v>
      </c>
      <c r="L247" s="13">
        <v>505545.214779837</v>
      </c>
      <c r="M247" s="13">
        <v>738.33333333333303</v>
      </c>
      <c r="N247" s="13">
        <v>3322.49999999999</v>
      </c>
      <c r="O247" s="13">
        <v>300</v>
      </c>
      <c r="P247" s="13">
        <v>250</v>
      </c>
      <c r="Q247" s="13">
        <v>4610.8333333333303</v>
      </c>
      <c r="R247" s="13">
        <v>4430</v>
      </c>
      <c r="S247" s="13">
        <v>6066.54257735804</v>
      </c>
      <c r="T247" s="13">
        <v>13290</v>
      </c>
      <c r="U247" s="13">
        <v>15166.3564433951</v>
      </c>
      <c r="V247" s="15">
        <f t="shared" si="9"/>
        <v>62545.214779836999</v>
      </c>
    </row>
    <row r="248" spans="1:22" x14ac:dyDescent="0.2">
      <c r="A248" s="13">
        <v>161</v>
      </c>
      <c r="B248" s="13" t="s">
        <v>101</v>
      </c>
      <c r="C248" s="13">
        <v>2</v>
      </c>
      <c r="D248" s="13" t="s">
        <v>103</v>
      </c>
      <c r="E248" s="13">
        <v>21</v>
      </c>
      <c r="F248" s="13">
        <v>26</v>
      </c>
      <c r="G248" s="13">
        <v>5</v>
      </c>
      <c r="H248" s="13">
        <v>443000</v>
      </c>
      <c r="I248" s="13">
        <v>27172.733999999899</v>
      </c>
      <c r="J248" s="13">
        <v>8199.7467798370599</v>
      </c>
      <c r="K248" s="13">
        <v>27172.733999999899</v>
      </c>
      <c r="L248" s="13">
        <v>505545.214779837</v>
      </c>
      <c r="M248" s="13">
        <v>738.33333333333303</v>
      </c>
      <c r="N248" s="13">
        <v>3322.49999999999</v>
      </c>
      <c r="O248" s="13">
        <v>300</v>
      </c>
      <c r="P248" s="13">
        <v>250</v>
      </c>
      <c r="Q248" s="13">
        <v>4610.8333333333303</v>
      </c>
      <c r="R248" s="13">
        <v>4430</v>
      </c>
      <c r="S248" s="13">
        <v>6066.54257735804</v>
      </c>
      <c r="T248" s="13">
        <v>13290</v>
      </c>
      <c r="U248" s="13">
        <v>15166.3564433951</v>
      </c>
      <c r="V248" s="15">
        <f t="shared" si="9"/>
        <v>62545.214779836999</v>
      </c>
    </row>
    <row r="249" spans="1:22" x14ac:dyDescent="0.2">
      <c r="A249" s="13">
        <v>163</v>
      </c>
      <c r="B249" s="13" t="s">
        <v>101</v>
      </c>
      <c r="C249" s="13">
        <v>2</v>
      </c>
      <c r="D249" s="13" t="s">
        <v>103</v>
      </c>
      <c r="E249" s="13">
        <v>21</v>
      </c>
      <c r="F249" s="13">
        <v>26</v>
      </c>
      <c r="G249" s="13">
        <v>5</v>
      </c>
      <c r="H249" s="13">
        <v>443000</v>
      </c>
      <c r="I249" s="13">
        <v>27172.733999999899</v>
      </c>
      <c r="J249" s="13">
        <v>8199.7467798370599</v>
      </c>
      <c r="K249" s="13">
        <v>27172.733999999899</v>
      </c>
      <c r="L249" s="13">
        <v>505545.214779837</v>
      </c>
      <c r="M249" s="13">
        <v>738.33333333333303</v>
      </c>
      <c r="N249" s="13">
        <v>3322.49999999999</v>
      </c>
      <c r="O249" s="13">
        <v>300</v>
      </c>
      <c r="P249" s="13">
        <v>250</v>
      </c>
      <c r="Q249" s="13">
        <v>4610.8333333333303</v>
      </c>
      <c r="R249" s="13">
        <v>4430</v>
      </c>
      <c r="S249" s="13">
        <v>6066.54257735804</v>
      </c>
      <c r="T249" s="13">
        <v>13290</v>
      </c>
      <c r="U249" s="13">
        <v>15166.3564433951</v>
      </c>
      <c r="V249" s="15">
        <f t="shared" si="9"/>
        <v>62545.214779836999</v>
      </c>
    </row>
    <row r="250" spans="1:22" x14ac:dyDescent="0.2">
      <c r="A250" s="13">
        <v>169</v>
      </c>
      <c r="B250" s="13" t="s">
        <v>101</v>
      </c>
      <c r="C250" s="13">
        <v>2</v>
      </c>
      <c r="D250" s="13" t="s">
        <v>102</v>
      </c>
      <c r="E250" s="13">
        <v>22</v>
      </c>
      <c r="F250" s="13">
        <v>26</v>
      </c>
      <c r="G250" s="13">
        <v>4</v>
      </c>
      <c r="H250" s="13">
        <v>338000</v>
      </c>
      <c r="I250" s="13">
        <v>27642.991999999998</v>
      </c>
      <c r="J250" s="13">
        <v>4447.8784912198998</v>
      </c>
      <c r="K250" s="13">
        <v>27642.991999999998</v>
      </c>
      <c r="L250" s="13">
        <v>397733.86249121901</v>
      </c>
      <c r="M250" s="13">
        <v>450.666666666666</v>
      </c>
      <c r="N250" s="13">
        <v>2027.99999999999</v>
      </c>
      <c r="O250" s="13">
        <v>240</v>
      </c>
      <c r="P250" s="13">
        <v>200</v>
      </c>
      <c r="Q250" s="13">
        <v>2918.6666666666601</v>
      </c>
      <c r="R250" s="13">
        <v>3380</v>
      </c>
      <c r="S250" s="13">
        <v>4772.8063498946303</v>
      </c>
      <c r="T250" s="13">
        <v>10140</v>
      </c>
      <c r="U250" s="13">
        <v>11932.0158747365</v>
      </c>
      <c r="V250" s="15">
        <f t="shared" si="9"/>
        <v>59733.862491219013</v>
      </c>
    </row>
    <row r="251" spans="1:22" x14ac:dyDescent="0.2">
      <c r="A251" s="13">
        <v>171</v>
      </c>
      <c r="B251" s="13" t="s">
        <v>101</v>
      </c>
      <c r="C251" s="13">
        <v>2</v>
      </c>
      <c r="D251" s="13" t="s">
        <v>102</v>
      </c>
      <c r="E251" s="13">
        <v>22</v>
      </c>
      <c r="F251" s="13">
        <v>26</v>
      </c>
      <c r="G251" s="13">
        <v>4</v>
      </c>
      <c r="H251" s="13">
        <v>338000</v>
      </c>
      <c r="I251" s="13">
        <v>27642.991999999998</v>
      </c>
      <c r="J251" s="13">
        <v>4447.8784912198998</v>
      </c>
      <c r="K251" s="13">
        <v>27642.991999999998</v>
      </c>
      <c r="L251" s="13">
        <v>397733.86249121901</v>
      </c>
      <c r="M251" s="13">
        <v>450.666666666666</v>
      </c>
      <c r="N251" s="13">
        <v>2027.99999999999</v>
      </c>
      <c r="O251" s="13">
        <v>240</v>
      </c>
      <c r="P251" s="13">
        <v>200</v>
      </c>
      <c r="Q251" s="13">
        <v>2918.6666666666601</v>
      </c>
      <c r="R251" s="13">
        <v>3380</v>
      </c>
      <c r="S251" s="13">
        <v>4772.8063498946303</v>
      </c>
      <c r="T251" s="13">
        <v>10140</v>
      </c>
      <c r="U251" s="13">
        <v>11932.0158747365</v>
      </c>
      <c r="V251" s="15">
        <f t="shared" si="9"/>
        <v>59733.862491219013</v>
      </c>
    </row>
    <row r="252" spans="1:22" x14ac:dyDescent="0.2">
      <c r="A252" s="13">
        <v>173</v>
      </c>
      <c r="B252" s="13" t="s">
        <v>101</v>
      </c>
      <c r="C252" s="13">
        <v>2</v>
      </c>
      <c r="D252" s="13" t="s">
        <v>102</v>
      </c>
      <c r="E252" s="13">
        <v>22</v>
      </c>
      <c r="F252" s="13">
        <v>26</v>
      </c>
      <c r="G252" s="13">
        <v>4</v>
      </c>
      <c r="H252" s="13">
        <v>338000</v>
      </c>
      <c r="I252" s="13">
        <v>27642.991999999998</v>
      </c>
      <c r="J252" s="13">
        <v>4447.8784912198998</v>
      </c>
      <c r="K252" s="13">
        <v>27642.991999999998</v>
      </c>
      <c r="L252" s="13">
        <v>397733.86249121901</v>
      </c>
      <c r="M252" s="13">
        <v>450.666666666666</v>
      </c>
      <c r="N252" s="13">
        <v>2027.99999999999</v>
      </c>
      <c r="O252" s="13">
        <v>240</v>
      </c>
      <c r="P252" s="13">
        <v>200</v>
      </c>
      <c r="Q252" s="13">
        <v>2918.6666666666601</v>
      </c>
      <c r="R252" s="13">
        <v>3380</v>
      </c>
      <c r="S252" s="13">
        <v>4772.8063498946303</v>
      </c>
      <c r="T252" s="13">
        <v>10140</v>
      </c>
      <c r="U252" s="13">
        <v>11932.0158747365</v>
      </c>
      <c r="V252" s="15">
        <f t="shared" si="9"/>
        <v>59733.862491219013</v>
      </c>
    </row>
    <row r="253" spans="1:22" x14ac:dyDescent="0.2">
      <c r="A253" s="13">
        <v>48</v>
      </c>
      <c r="B253" s="13" t="s">
        <v>136</v>
      </c>
      <c r="C253" s="13">
        <v>2</v>
      </c>
      <c r="D253" s="13" t="s">
        <v>104</v>
      </c>
      <c r="E253" s="13">
        <v>18</v>
      </c>
      <c r="F253" s="13">
        <v>26</v>
      </c>
      <c r="G253" s="13">
        <v>8</v>
      </c>
      <c r="H253" s="13">
        <v>630000</v>
      </c>
      <c r="I253" s="13">
        <v>37800</v>
      </c>
      <c r="J253" s="13">
        <v>16689.945856031802</v>
      </c>
      <c r="K253" s="13">
        <v>37800</v>
      </c>
      <c r="L253" s="13">
        <v>722289.94585603103</v>
      </c>
      <c r="M253" s="13">
        <v>2100</v>
      </c>
      <c r="N253" s="13">
        <v>4620</v>
      </c>
      <c r="O253" s="13">
        <v>400</v>
      </c>
      <c r="P253" s="13">
        <v>320</v>
      </c>
      <c r="Q253" s="13">
        <v>7440</v>
      </c>
      <c r="R253" s="13">
        <v>6300</v>
      </c>
      <c r="S253" s="13">
        <v>7222.8994585603104</v>
      </c>
      <c r="T253" s="13">
        <v>18900</v>
      </c>
      <c r="U253" s="13">
        <v>21668.698375680899</v>
      </c>
      <c r="V253" s="15">
        <f t="shared" si="9"/>
        <v>92289.94585603103</v>
      </c>
    </row>
    <row r="254" spans="1:22" x14ac:dyDescent="0.2">
      <c r="A254" s="13">
        <v>62</v>
      </c>
      <c r="B254" s="13" t="s">
        <v>136</v>
      </c>
      <c r="C254" s="13">
        <v>2</v>
      </c>
      <c r="D254" s="13" t="s">
        <v>103</v>
      </c>
      <c r="E254" s="13">
        <v>19</v>
      </c>
      <c r="F254" s="13">
        <v>26</v>
      </c>
      <c r="G254" s="13">
        <v>7</v>
      </c>
      <c r="H254" s="13">
        <v>405000</v>
      </c>
      <c r="I254" s="13">
        <v>32400</v>
      </c>
      <c r="J254" s="13">
        <v>8209.4329593602797</v>
      </c>
      <c r="K254" s="13">
        <v>28350</v>
      </c>
      <c r="L254" s="13">
        <v>473959.43295936001</v>
      </c>
      <c r="M254" s="13">
        <v>1181.25</v>
      </c>
      <c r="N254" s="13">
        <v>2598.75</v>
      </c>
      <c r="O254" s="13">
        <v>350</v>
      </c>
      <c r="P254" s="13">
        <v>280</v>
      </c>
      <c r="Q254" s="13">
        <v>4410</v>
      </c>
      <c r="R254" s="13">
        <v>4050</v>
      </c>
      <c r="S254" s="13">
        <v>4739.5943295936004</v>
      </c>
      <c r="T254" s="13">
        <v>12150</v>
      </c>
      <c r="U254" s="13">
        <v>14218.7829887808</v>
      </c>
      <c r="V254" s="15">
        <f t="shared" si="9"/>
        <v>68959.432959360012</v>
      </c>
    </row>
    <row r="255" spans="1:22" x14ac:dyDescent="0.2">
      <c r="A255" s="13">
        <v>71</v>
      </c>
      <c r="B255" s="13" t="s">
        <v>136</v>
      </c>
      <c r="C255" s="13">
        <v>2</v>
      </c>
      <c r="D255" s="13" t="s">
        <v>103</v>
      </c>
      <c r="E255" s="13">
        <v>19</v>
      </c>
      <c r="F255" s="13">
        <v>26</v>
      </c>
      <c r="G255" s="13">
        <v>7</v>
      </c>
      <c r="H255" s="13">
        <v>405000</v>
      </c>
      <c r="I255" s="13">
        <v>32400</v>
      </c>
      <c r="J255" s="13">
        <v>8209.4329593602797</v>
      </c>
      <c r="K255" s="13">
        <v>28350</v>
      </c>
      <c r="L255" s="13">
        <v>473959.43295936001</v>
      </c>
      <c r="M255" s="13">
        <v>1181.25</v>
      </c>
      <c r="N255" s="13">
        <v>2598.75</v>
      </c>
      <c r="O255" s="13">
        <v>350</v>
      </c>
      <c r="P255" s="13">
        <v>280</v>
      </c>
      <c r="Q255" s="13">
        <v>4410</v>
      </c>
      <c r="R255" s="13">
        <v>4050</v>
      </c>
      <c r="S255" s="13">
        <v>4739.5943295936004</v>
      </c>
      <c r="T255" s="13">
        <v>12150</v>
      </c>
      <c r="U255" s="13">
        <v>14218.7829887808</v>
      </c>
      <c r="V255" s="15">
        <f t="shared" si="9"/>
        <v>68959.432959360012</v>
      </c>
    </row>
    <row r="256" spans="1:22" x14ac:dyDescent="0.2">
      <c r="A256" s="13">
        <v>74</v>
      </c>
      <c r="B256" s="13" t="s">
        <v>136</v>
      </c>
      <c r="C256" s="13">
        <v>2</v>
      </c>
      <c r="D256" s="13" t="s">
        <v>104</v>
      </c>
      <c r="E256" s="13">
        <v>19</v>
      </c>
      <c r="F256" s="13">
        <v>26</v>
      </c>
      <c r="G256" s="13">
        <v>7</v>
      </c>
      <c r="H256" s="13">
        <v>630000</v>
      </c>
      <c r="I256" s="13">
        <v>37800</v>
      </c>
      <c r="J256" s="13">
        <v>14579.759454704799</v>
      </c>
      <c r="K256" s="13">
        <v>37800</v>
      </c>
      <c r="L256" s="13">
        <v>720179.75945470401</v>
      </c>
      <c r="M256" s="13">
        <v>1837.5</v>
      </c>
      <c r="N256" s="13">
        <v>4042.5</v>
      </c>
      <c r="O256" s="13">
        <v>350</v>
      </c>
      <c r="P256" s="13">
        <v>280</v>
      </c>
      <c r="Q256" s="13">
        <v>6510</v>
      </c>
      <c r="R256" s="13">
        <v>6300</v>
      </c>
      <c r="S256" s="13">
        <v>7201.7975945470398</v>
      </c>
      <c r="T256" s="13">
        <v>18900</v>
      </c>
      <c r="U256" s="13">
        <v>21605.392783641099</v>
      </c>
      <c r="V256" s="15">
        <f t="shared" si="9"/>
        <v>90179.759454704006</v>
      </c>
    </row>
    <row r="257" spans="1:22" x14ac:dyDescent="0.2">
      <c r="A257" s="13">
        <v>78</v>
      </c>
      <c r="B257" s="13" t="s">
        <v>136</v>
      </c>
      <c r="C257" s="13">
        <v>2</v>
      </c>
      <c r="D257" s="13" t="s">
        <v>102</v>
      </c>
      <c r="E257" s="13">
        <v>20</v>
      </c>
      <c r="F257" s="13">
        <v>26</v>
      </c>
      <c r="G257" s="13">
        <v>6</v>
      </c>
      <c r="H257" s="13">
        <v>305000</v>
      </c>
      <c r="I257" s="13">
        <v>30500</v>
      </c>
      <c r="J257" s="13">
        <v>4541.1927353126903</v>
      </c>
      <c r="K257" s="13">
        <v>27450</v>
      </c>
      <c r="L257" s="13">
        <v>367491.19273531198</v>
      </c>
      <c r="M257" s="13">
        <v>762.5</v>
      </c>
      <c r="N257" s="13">
        <v>1677.5</v>
      </c>
      <c r="O257" s="13">
        <v>300</v>
      </c>
      <c r="P257" s="13">
        <v>240</v>
      </c>
      <c r="Q257" s="13">
        <v>2980</v>
      </c>
      <c r="R257" s="13">
        <v>3050</v>
      </c>
      <c r="S257" s="13">
        <v>3674.9119273531201</v>
      </c>
      <c r="T257" s="13">
        <v>9150</v>
      </c>
      <c r="U257" s="13">
        <v>11024.735782059301</v>
      </c>
      <c r="V257" s="15">
        <f t="shared" si="9"/>
        <v>62491.192735311983</v>
      </c>
    </row>
    <row r="258" spans="1:22" x14ac:dyDescent="0.2">
      <c r="A258" s="13">
        <v>79</v>
      </c>
      <c r="B258" s="13" t="s">
        <v>136</v>
      </c>
      <c r="C258" s="13">
        <v>2</v>
      </c>
      <c r="D258" s="13" t="s">
        <v>102</v>
      </c>
      <c r="E258" s="13">
        <v>20</v>
      </c>
      <c r="F258" s="13">
        <v>26</v>
      </c>
      <c r="G258" s="13">
        <v>6</v>
      </c>
      <c r="H258" s="13">
        <v>305000</v>
      </c>
      <c r="I258" s="13">
        <v>30500</v>
      </c>
      <c r="J258" s="13">
        <v>4541.1927353126903</v>
      </c>
      <c r="K258" s="13">
        <v>27450</v>
      </c>
      <c r="L258" s="13">
        <v>367491.19273531198</v>
      </c>
      <c r="M258" s="13">
        <v>762.5</v>
      </c>
      <c r="N258" s="13">
        <v>1677.5</v>
      </c>
      <c r="O258" s="13">
        <v>300</v>
      </c>
      <c r="P258" s="13">
        <v>240</v>
      </c>
      <c r="Q258" s="13">
        <v>2980</v>
      </c>
      <c r="R258" s="13">
        <v>3050</v>
      </c>
      <c r="S258" s="13">
        <v>3674.9119273531201</v>
      </c>
      <c r="T258" s="13">
        <v>9150</v>
      </c>
      <c r="U258" s="13">
        <v>11024.735782059301</v>
      </c>
      <c r="V258" s="15">
        <f t="shared" si="9"/>
        <v>62491.192735311983</v>
      </c>
    </row>
    <row r="259" spans="1:22" x14ac:dyDescent="0.2">
      <c r="A259" s="13">
        <v>80</v>
      </c>
      <c r="B259" s="13" t="s">
        <v>136</v>
      </c>
      <c r="C259" s="13">
        <v>2</v>
      </c>
      <c r="D259" s="13" t="s">
        <v>102</v>
      </c>
      <c r="E259" s="13">
        <v>20</v>
      </c>
      <c r="F259" s="13">
        <v>26</v>
      </c>
      <c r="G259" s="13">
        <v>6</v>
      </c>
      <c r="H259" s="13">
        <v>305000</v>
      </c>
      <c r="I259" s="13">
        <v>30500</v>
      </c>
      <c r="J259" s="13">
        <v>4541.1927353126903</v>
      </c>
      <c r="K259" s="13">
        <v>27450</v>
      </c>
      <c r="L259" s="13">
        <v>367491.19273531198</v>
      </c>
      <c r="M259" s="13">
        <v>762.5</v>
      </c>
      <c r="N259" s="13">
        <v>1677.5</v>
      </c>
      <c r="O259" s="13">
        <v>300</v>
      </c>
      <c r="P259" s="13">
        <v>240</v>
      </c>
      <c r="Q259" s="13">
        <v>2980</v>
      </c>
      <c r="R259" s="13">
        <v>3050</v>
      </c>
      <c r="S259" s="13">
        <v>3674.9119273531201</v>
      </c>
      <c r="T259" s="13">
        <v>9150</v>
      </c>
      <c r="U259" s="13">
        <v>11024.735782059301</v>
      </c>
      <c r="V259" s="15">
        <f t="shared" si="9"/>
        <v>62491.192735311983</v>
      </c>
    </row>
    <row r="260" spans="1:22" x14ac:dyDescent="0.2">
      <c r="A260" s="13">
        <v>83</v>
      </c>
      <c r="B260" s="13" t="s">
        <v>136</v>
      </c>
      <c r="C260" s="13">
        <v>2</v>
      </c>
      <c r="D260" s="13" t="s">
        <v>102</v>
      </c>
      <c r="E260" s="13">
        <v>20</v>
      </c>
      <c r="F260" s="13">
        <v>26</v>
      </c>
      <c r="G260" s="13">
        <v>6</v>
      </c>
      <c r="H260" s="13">
        <v>305000</v>
      </c>
      <c r="I260" s="13">
        <v>30500</v>
      </c>
      <c r="J260" s="13">
        <v>4541.1927353126903</v>
      </c>
      <c r="K260" s="13">
        <v>27450</v>
      </c>
      <c r="L260" s="13">
        <v>367491.19273531198</v>
      </c>
      <c r="M260" s="13">
        <v>762.5</v>
      </c>
      <c r="N260" s="13">
        <v>1677.5</v>
      </c>
      <c r="O260" s="13">
        <v>300</v>
      </c>
      <c r="P260" s="13">
        <v>240</v>
      </c>
      <c r="Q260" s="13">
        <v>2980</v>
      </c>
      <c r="R260" s="13">
        <v>3050</v>
      </c>
      <c r="S260" s="13">
        <v>3674.9119273531201</v>
      </c>
      <c r="T260" s="13">
        <v>9150</v>
      </c>
      <c r="U260" s="13">
        <v>11024.735782059301</v>
      </c>
      <c r="V260" s="15">
        <f t="shared" si="9"/>
        <v>62491.192735311983</v>
      </c>
    </row>
    <row r="261" spans="1:22" x14ac:dyDescent="0.2">
      <c r="A261" s="13">
        <v>84</v>
      </c>
      <c r="B261" s="13" t="s">
        <v>136</v>
      </c>
      <c r="C261" s="13">
        <v>2</v>
      </c>
      <c r="D261" s="13" t="s">
        <v>102</v>
      </c>
      <c r="E261" s="13">
        <v>20</v>
      </c>
      <c r="F261" s="13">
        <v>26</v>
      </c>
      <c r="G261" s="13">
        <v>6</v>
      </c>
      <c r="H261" s="13">
        <v>305000</v>
      </c>
      <c r="I261" s="13">
        <v>30500</v>
      </c>
      <c r="J261" s="13">
        <v>4541.1927353126903</v>
      </c>
      <c r="K261" s="13">
        <v>27450</v>
      </c>
      <c r="L261" s="13">
        <v>367491.19273531198</v>
      </c>
      <c r="M261" s="13">
        <v>762.5</v>
      </c>
      <c r="N261" s="13">
        <v>1677.5</v>
      </c>
      <c r="O261" s="13">
        <v>300</v>
      </c>
      <c r="P261" s="13">
        <v>240</v>
      </c>
      <c r="Q261" s="13">
        <v>2980</v>
      </c>
      <c r="R261" s="13">
        <v>3050</v>
      </c>
      <c r="S261" s="13">
        <v>3674.9119273531201</v>
      </c>
      <c r="T261" s="13">
        <v>9150</v>
      </c>
      <c r="U261" s="13">
        <v>11024.735782059301</v>
      </c>
      <c r="V261" s="15">
        <f t="shared" si="9"/>
        <v>62491.192735311983</v>
      </c>
    </row>
    <row r="262" spans="1:22" x14ac:dyDescent="0.2">
      <c r="A262" s="13">
        <v>88</v>
      </c>
      <c r="B262" s="13" t="s">
        <v>136</v>
      </c>
      <c r="C262" s="13">
        <v>2</v>
      </c>
      <c r="D262" s="13" t="s">
        <v>102</v>
      </c>
      <c r="E262" s="13">
        <v>20</v>
      </c>
      <c r="F262" s="13">
        <v>26</v>
      </c>
      <c r="G262" s="13">
        <v>6</v>
      </c>
      <c r="H262" s="13">
        <v>305000</v>
      </c>
      <c r="I262" s="13">
        <v>30500</v>
      </c>
      <c r="J262" s="13">
        <v>4541.1927353126903</v>
      </c>
      <c r="K262" s="13">
        <v>27450</v>
      </c>
      <c r="L262" s="13">
        <v>367491.19273531198</v>
      </c>
      <c r="M262" s="13">
        <v>762.5</v>
      </c>
      <c r="N262" s="13">
        <v>1677.5</v>
      </c>
      <c r="O262" s="13">
        <v>300</v>
      </c>
      <c r="P262" s="13">
        <v>240</v>
      </c>
      <c r="Q262" s="13">
        <v>2980</v>
      </c>
      <c r="R262" s="13">
        <v>3050</v>
      </c>
      <c r="S262" s="13">
        <v>3674.9119273531201</v>
      </c>
      <c r="T262" s="13">
        <v>9150</v>
      </c>
      <c r="U262" s="13">
        <v>11024.735782059301</v>
      </c>
      <c r="V262" s="15">
        <f t="shared" si="9"/>
        <v>62491.192735311983</v>
      </c>
    </row>
    <row r="263" spans="1:22" x14ac:dyDescent="0.2">
      <c r="A263" s="13">
        <v>92</v>
      </c>
      <c r="B263" s="13" t="s">
        <v>136</v>
      </c>
      <c r="C263" s="13">
        <v>2</v>
      </c>
      <c r="D263" s="13" t="s">
        <v>103</v>
      </c>
      <c r="E263" s="13">
        <v>20</v>
      </c>
      <c r="F263" s="13">
        <v>26</v>
      </c>
      <c r="G263" s="13">
        <v>6</v>
      </c>
      <c r="H263" s="13">
        <v>405000</v>
      </c>
      <c r="I263" s="13">
        <v>32400</v>
      </c>
      <c r="J263" s="13">
        <v>7026.5464748600298</v>
      </c>
      <c r="K263" s="13">
        <v>28350</v>
      </c>
      <c r="L263" s="13">
        <v>472776.54647485999</v>
      </c>
      <c r="M263" s="13">
        <v>1012.5</v>
      </c>
      <c r="N263" s="13">
        <v>2227.5</v>
      </c>
      <c r="O263" s="13">
        <v>300</v>
      </c>
      <c r="P263" s="13">
        <v>240</v>
      </c>
      <c r="Q263" s="13">
        <v>3780</v>
      </c>
      <c r="R263" s="13">
        <v>4050</v>
      </c>
      <c r="S263" s="13">
        <v>4727.7654647485997</v>
      </c>
      <c r="T263" s="13">
        <v>12150</v>
      </c>
      <c r="U263" s="13">
        <v>14183.296394245799</v>
      </c>
      <c r="V263" s="15">
        <f t="shared" si="9"/>
        <v>67776.546474859992</v>
      </c>
    </row>
    <row r="264" spans="1:22" x14ac:dyDescent="0.2">
      <c r="A264" s="13">
        <v>93</v>
      </c>
      <c r="B264" s="13" t="s">
        <v>136</v>
      </c>
      <c r="C264" s="13">
        <v>2</v>
      </c>
      <c r="D264" s="13" t="s">
        <v>103</v>
      </c>
      <c r="E264" s="13">
        <v>20</v>
      </c>
      <c r="F264" s="13">
        <v>26</v>
      </c>
      <c r="G264" s="13">
        <v>6</v>
      </c>
      <c r="H264" s="13">
        <v>405000</v>
      </c>
      <c r="I264" s="13">
        <v>32400</v>
      </c>
      <c r="J264" s="13">
        <v>7026.5464748600298</v>
      </c>
      <c r="K264" s="13">
        <v>28350</v>
      </c>
      <c r="L264" s="13">
        <v>472776.54647485999</v>
      </c>
      <c r="M264" s="13">
        <v>1012.5</v>
      </c>
      <c r="N264" s="13">
        <v>2227.5</v>
      </c>
      <c r="O264" s="13">
        <v>300</v>
      </c>
      <c r="P264" s="13">
        <v>240</v>
      </c>
      <c r="Q264" s="13">
        <v>3780</v>
      </c>
      <c r="R264" s="13">
        <v>4050</v>
      </c>
      <c r="S264" s="13">
        <v>4727.7654647485997</v>
      </c>
      <c r="T264" s="13">
        <v>12150</v>
      </c>
      <c r="U264" s="13">
        <v>14183.296394245799</v>
      </c>
      <c r="V264" s="15">
        <f t="shared" si="9"/>
        <v>67776.546474859992</v>
      </c>
    </row>
    <row r="265" spans="1:22" x14ac:dyDescent="0.2">
      <c r="A265" s="13">
        <v>98</v>
      </c>
      <c r="B265" s="13" t="s">
        <v>136</v>
      </c>
      <c r="C265" s="13">
        <v>2</v>
      </c>
      <c r="D265" s="13" t="s">
        <v>103</v>
      </c>
      <c r="E265" s="13">
        <v>20</v>
      </c>
      <c r="F265" s="13">
        <v>26</v>
      </c>
      <c r="G265" s="13">
        <v>6</v>
      </c>
      <c r="H265" s="13">
        <v>405000</v>
      </c>
      <c r="I265" s="13">
        <v>32400</v>
      </c>
      <c r="J265" s="13">
        <v>7026.5464748600298</v>
      </c>
      <c r="K265" s="13">
        <v>28350</v>
      </c>
      <c r="L265" s="13">
        <v>472776.54647485999</v>
      </c>
      <c r="M265" s="13">
        <v>1012.5</v>
      </c>
      <c r="N265" s="13">
        <v>2227.5</v>
      </c>
      <c r="O265" s="13">
        <v>300</v>
      </c>
      <c r="P265" s="13">
        <v>240</v>
      </c>
      <c r="Q265" s="13">
        <v>3780</v>
      </c>
      <c r="R265" s="13">
        <v>4050</v>
      </c>
      <c r="S265" s="13">
        <v>4727.7654647485997</v>
      </c>
      <c r="T265" s="13">
        <v>12150</v>
      </c>
      <c r="U265" s="13">
        <v>14183.296394245799</v>
      </c>
      <c r="V265" s="15">
        <f t="shared" si="9"/>
        <v>67776.546474859992</v>
      </c>
    </row>
    <row r="266" spans="1:22" x14ac:dyDescent="0.2">
      <c r="A266" s="13">
        <v>99</v>
      </c>
      <c r="B266" s="13" t="s">
        <v>136</v>
      </c>
      <c r="C266" s="13">
        <v>2</v>
      </c>
      <c r="D266" s="13" t="s">
        <v>103</v>
      </c>
      <c r="E266" s="13">
        <v>20</v>
      </c>
      <c r="F266" s="13">
        <v>26</v>
      </c>
      <c r="G266" s="13">
        <v>6</v>
      </c>
      <c r="H266" s="13">
        <v>405000</v>
      </c>
      <c r="I266" s="13">
        <v>32400</v>
      </c>
      <c r="J266" s="13">
        <v>7026.5464748600298</v>
      </c>
      <c r="K266" s="13">
        <v>28350</v>
      </c>
      <c r="L266" s="13">
        <v>472776.54647485999</v>
      </c>
      <c r="M266" s="13">
        <v>1012.5</v>
      </c>
      <c r="N266" s="13">
        <v>2227.5</v>
      </c>
      <c r="O266" s="13">
        <v>300</v>
      </c>
      <c r="P266" s="13">
        <v>240</v>
      </c>
      <c r="Q266" s="13">
        <v>3780</v>
      </c>
      <c r="R266" s="13">
        <v>4050</v>
      </c>
      <c r="S266" s="13">
        <v>4727.7654647485997</v>
      </c>
      <c r="T266" s="13">
        <v>12150</v>
      </c>
      <c r="U266" s="13">
        <v>14183.296394245799</v>
      </c>
      <c r="V266" s="15">
        <f t="shared" si="9"/>
        <v>67776.546474859992</v>
      </c>
    </row>
    <row r="267" spans="1:22" x14ac:dyDescent="0.2">
      <c r="A267" s="13">
        <v>100</v>
      </c>
      <c r="B267" s="13" t="s">
        <v>136</v>
      </c>
      <c r="C267" s="13">
        <v>2</v>
      </c>
      <c r="D267" s="13" t="s">
        <v>103</v>
      </c>
      <c r="E267" s="13">
        <v>20</v>
      </c>
      <c r="F267" s="13">
        <v>26</v>
      </c>
      <c r="G267" s="13">
        <v>6</v>
      </c>
      <c r="H267" s="13">
        <v>405000</v>
      </c>
      <c r="I267" s="13">
        <v>32400</v>
      </c>
      <c r="J267" s="13">
        <v>7026.5464748600298</v>
      </c>
      <c r="K267" s="13">
        <v>28350</v>
      </c>
      <c r="L267" s="13">
        <v>472776.54647485999</v>
      </c>
      <c r="M267" s="13">
        <v>1012.5</v>
      </c>
      <c r="N267" s="13">
        <v>2227.5</v>
      </c>
      <c r="O267" s="13">
        <v>300</v>
      </c>
      <c r="P267" s="13">
        <v>240</v>
      </c>
      <c r="Q267" s="13">
        <v>3780</v>
      </c>
      <c r="R267" s="13">
        <v>4050</v>
      </c>
      <c r="S267" s="13">
        <v>4727.7654647485997</v>
      </c>
      <c r="T267" s="13">
        <v>12150</v>
      </c>
      <c r="U267" s="13">
        <v>14183.296394245799</v>
      </c>
      <c r="V267" s="15">
        <f t="shared" si="9"/>
        <v>67776.546474859992</v>
      </c>
    </row>
    <row r="268" spans="1:22" x14ac:dyDescent="0.2">
      <c r="A268" s="13">
        <v>107</v>
      </c>
      <c r="B268" s="13" t="s">
        <v>136</v>
      </c>
      <c r="C268" s="13">
        <v>2</v>
      </c>
      <c r="D268" s="13" t="s">
        <v>102</v>
      </c>
      <c r="E268" s="13">
        <v>21</v>
      </c>
      <c r="F268" s="13">
        <v>26</v>
      </c>
      <c r="G268" s="13">
        <v>5</v>
      </c>
      <c r="H268" s="13">
        <v>305000</v>
      </c>
      <c r="I268" s="13">
        <v>30500</v>
      </c>
      <c r="J268" s="13">
        <v>3779.6587965205999</v>
      </c>
      <c r="K268" s="13">
        <v>27450</v>
      </c>
      <c r="L268" s="13">
        <v>366729.65879651997</v>
      </c>
      <c r="M268" s="13">
        <v>635.41666666666595</v>
      </c>
      <c r="N268" s="13">
        <v>1397.9166666666599</v>
      </c>
      <c r="O268" s="13">
        <v>250</v>
      </c>
      <c r="P268" s="13">
        <v>200</v>
      </c>
      <c r="Q268" s="13">
        <v>2483.3333333333298</v>
      </c>
      <c r="R268" s="13">
        <v>3050</v>
      </c>
      <c r="S268" s="13">
        <v>3667.2965879652002</v>
      </c>
      <c r="T268" s="13">
        <v>9150</v>
      </c>
      <c r="U268" s="13">
        <v>11001.8897638956</v>
      </c>
      <c r="V268" s="15">
        <f t="shared" si="9"/>
        <v>61729.658796519972</v>
      </c>
    </row>
    <row r="269" spans="1:22" x14ac:dyDescent="0.2">
      <c r="A269" s="13">
        <v>108</v>
      </c>
      <c r="B269" s="13" t="s">
        <v>136</v>
      </c>
      <c r="C269" s="13">
        <v>2</v>
      </c>
      <c r="D269" s="13" t="s">
        <v>102</v>
      </c>
      <c r="E269" s="13">
        <v>21</v>
      </c>
      <c r="F269" s="13">
        <v>26</v>
      </c>
      <c r="G269" s="13">
        <v>5</v>
      </c>
      <c r="H269" s="13">
        <v>305000</v>
      </c>
      <c r="I269" s="13">
        <v>30500</v>
      </c>
      <c r="J269" s="13">
        <v>3779.6587965205999</v>
      </c>
      <c r="K269" s="13">
        <v>27450</v>
      </c>
      <c r="L269" s="13">
        <v>366729.65879651997</v>
      </c>
      <c r="M269" s="13">
        <v>635.41666666666595</v>
      </c>
      <c r="N269" s="13">
        <v>1397.9166666666599</v>
      </c>
      <c r="O269" s="13">
        <v>250</v>
      </c>
      <c r="P269" s="13">
        <v>200</v>
      </c>
      <c r="Q269" s="13">
        <v>2483.3333333333298</v>
      </c>
      <c r="R269" s="13">
        <v>3050</v>
      </c>
      <c r="S269" s="13">
        <v>3667.2965879652002</v>
      </c>
      <c r="T269" s="13">
        <v>9150</v>
      </c>
      <c r="U269" s="13">
        <v>11001.8897638956</v>
      </c>
      <c r="V269" s="15">
        <f t="shared" si="9"/>
        <v>61729.658796519972</v>
      </c>
    </row>
    <row r="270" spans="1:22" x14ac:dyDescent="0.2">
      <c r="A270" s="13">
        <v>109</v>
      </c>
      <c r="B270" s="13" t="s">
        <v>136</v>
      </c>
      <c r="C270" s="13">
        <v>2</v>
      </c>
      <c r="D270" s="13" t="s">
        <v>102</v>
      </c>
      <c r="E270" s="13">
        <v>21</v>
      </c>
      <c r="F270" s="13">
        <v>26</v>
      </c>
      <c r="G270" s="13">
        <v>5</v>
      </c>
      <c r="H270" s="13">
        <v>305000</v>
      </c>
      <c r="I270" s="13">
        <v>30500</v>
      </c>
      <c r="J270" s="13">
        <v>3779.6587965205999</v>
      </c>
      <c r="K270" s="13">
        <v>27450</v>
      </c>
      <c r="L270" s="13">
        <v>366729.65879651997</v>
      </c>
      <c r="M270" s="13">
        <v>635.41666666666595</v>
      </c>
      <c r="N270" s="13">
        <v>1397.9166666666599</v>
      </c>
      <c r="O270" s="13">
        <v>250</v>
      </c>
      <c r="P270" s="13">
        <v>200</v>
      </c>
      <c r="Q270" s="13">
        <v>2483.3333333333298</v>
      </c>
      <c r="R270" s="13">
        <v>3050</v>
      </c>
      <c r="S270" s="13">
        <v>3667.2965879652002</v>
      </c>
      <c r="T270" s="13">
        <v>9150</v>
      </c>
      <c r="U270" s="13">
        <v>11001.8897638956</v>
      </c>
      <c r="V270" s="15">
        <f t="shared" si="9"/>
        <v>61729.658796519972</v>
      </c>
    </row>
    <row r="271" spans="1:22" x14ac:dyDescent="0.2">
      <c r="A271" s="13">
        <v>110</v>
      </c>
      <c r="B271" s="13" t="s">
        <v>136</v>
      </c>
      <c r="C271" s="13">
        <v>2</v>
      </c>
      <c r="D271" s="13" t="s">
        <v>102</v>
      </c>
      <c r="E271" s="13">
        <v>21</v>
      </c>
      <c r="F271" s="13">
        <v>26</v>
      </c>
      <c r="G271" s="13">
        <v>5</v>
      </c>
      <c r="H271" s="13">
        <v>305000</v>
      </c>
      <c r="I271" s="13">
        <v>30500</v>
      </c>
      <c r="J271" s="13">
        <v>3779.6587965205999</v>
      </c>
      <c r="K271" s="13">
        <v>27450</v>
      </c>
      <c r="L271" s="13">
        <v>366729.65879651997</v>
      </c>
      <c r="M271" s="13">
        <v>635.41666666666595</v>
      </c>
      <c r="N271" s="13">
        <v>1397.9166666666599</v>
      </c>
      <c r="O271" s="13">
        <v>250</v>
      </c>
      <c r="P271" s="13">
        <v>200</v>
      </c>
      <c r="Q271" s="13">
        <v>2483.3333333333298</v>
      </c>
      <c r="R271" s="13">
        <v>3050</v>
      </c>
      <c r="S271" s="13">
        <v>3667.2965879652002</v>
      </c>
      <c r="T271" s="13">
        <v>9150</v>
      </c>
      <c r="U271" s="13">
        <v>11001.8897638956</v>
      </c>
      <c r="V271" s="15">
        <f t="shared" si="9"/>
        <v>61729.658796519972</v>
      </c>
    </row>
    <row r="272" spans="1:22" x14ac:dyDescent="0.2">
      <c r="A272" s="13">
        <v>111</v>
      </c>
      <c r="B272" s="13" t="s">
        <v>136</v>
      </c>
      <c r="C272" s="13">
        <v>2</v>
      </c>
      <c r="D272" s="13" t="s">
        <v>102</v>
      </c>
      <c r="E272" s="13">
        <v>21</v>
      </c>
      <c r="F272" s="13">
        <v>26</v>
      </c>
      <c r="G272" s="13">
        <v>5</v>
      </c>
      <c r="H272" s="13">
        <v>305000</v>
      </c>
      <c r="I272" s="13">
        <v>30500</v>
      </c>
      <c r="J272" s="13">
        <v>3779.6587965205999</v>
      </c>
      <c r="K272" s="13">
        <v>27450</v>
      </c>
      <c r="L272" s="13">
        <v>366729.65879651997</v>
      </c>
      <c r="M272" s="13">
        <v>635.41666666666595</v>
      </c>
      <c r="N272" s="13">
        <v>1397.9166666666599</v>
      </c>
      <c r="O272" s="13">
        <v>250</v>
      </c>
      <c r="P272" s="13">
        <v>200</v>
      </c>
      <c r="Q272" s="13">
        <v>2483.3333333333298</v>
      </c>
      <c r="R272" s="13">
        <v>3050</v>
      </c>
      <c r="S272" s="13">
        <v>3667.2965879652002</v>
      </c>
      <c r="T272" s="13">
        <v>9150</v>
      </c>
      <c r="U272" s="13">
        <v>11001.8897638956</v>
      </c>
      <c r="V272" s="15">
        <f t="shared" si="9"/>
        <v>61729.658796519972</v>
      </c>
    </row>
    <row r="273" spans="1:22" x14ac:dyDescent="0.2">
      <c r="A273" s="13">
        <v>113</v>
      </c>
      <c r="B273" s="13" t="s">
        <v>136</v>
      </c>
      <c r="C273" s="13">
        <v>2</v>
      </c>
      <c r="D273" s="13" t="s">
        <v>102</v>
      </c>
      <c r="E273" s="13">
        <v>21</v>
      </c>
      <c r="F273" s="13">
        <v>26</v>
      </c>
      <c r="G273" s="13">
        <v>5</v>
      </c>
      <c r="H273" s="13">
        <v>305000</v>
      </c>
      <c r="I273" s="13">
        <v>30500</v>
      </c>
      <c r="J273" s="13">
        <v>3779.6587965205999</v>
      </c>
      <c r="K273" s="13">
        <v>27450</v>
      </c>
      <c r="L273" s="13">
        <v>366729.65879651997</v>
      </c>
      <c r="M273" s="13">
        <v>635.41666666666595</v>
      </c>
      <c r="N273" s="13">
        <v>1397.9166666666599</v>
      </c>
      <c r="O273" s="13">
        <v>250</v>
      </c>
      <c r="P273" s="13">
        <v>200</v>
      </c>
      <c r="Q273" s="13">
        <v>2483.3333333333298</v>
      </c>
      <c r="R273" s="13">
        <v>3050</v>
      </c>
      <c r="S273" s="13">
        <v>3667.2965879652002</v>
      </c>
      <c r="T273" s="13">
        <v>9150</v>
      </c>
      <c r="U273" s="13">
        <v>11001.8897638956</v>
      </c>
      <c r="V273" s="15">
        <f t="shared" si="9"/>
        <v>61729.658796519972</v>
      </c>
    </row>
    <row r="274" spans="1:22" x14ac:dyDescent="0.2">
      <c r="A274" s="13">
        <v>114</v>
      </c>
      <c r="B274" s="13" t="s">
        <v>136</v>
      </c>
      <c r="C274" s="13">
        <v>2</v>
      </c>
      <c r="D274" s="13" t="s">
        <v>102</v>
      </c>
      <c r="E274" s="13">
        <v>21</v>
      </c>
      <c r="F274" s="13">
        <v>26</v>
      </c>
      <c r="G274" s="13">
        <v>5</v>
      </c>
      <c r="H274" s="13">
        <v>305000</v>
      </c>
      <c r="I274" s="13">
        <v>30500</v>
      </c>
      <c r="J274" s="13">
        <v>3779.6587965205999</v>
      </c>
      <c r="K274" s="13">
        <v>27450</v>
      </c>
      <c r="L274" s="13">
        <v>366729.65879651997</v>
      </c>
      <c r="M274" s="13">
        <v>635.41666666666595</v>
      </c>
      <c r="N274" s="13">
        <v>1397.9166666666599</v>
      </c>
      <c r="O274" s="13">
        <v>250</v>
      </c>
      <c r="P274" s="13">
        <v>200</v>
      </c>
      <c r="Q274" s="13">
        <v>2483.3333333333298</v>
      </c>
      <c r="R274" s="13">
        <v>3050</v>
      </c>
      <c r="S274" s="13">
        <v>3667.2965879652002</v>
      </c>
      <c r="T274" s="13">
        <v>9150</v>
      </c>
      <c r="U274" s="13">
        <v>11001.8897638956</v>
      </c>
      <c r="V274" s="15">
        <f t="shared" si="9"/>
        <v>61729.658796519972</v>
      </c>
    </row>
    <row r="275" spans="1:22" x14ac:dyDescent="0.2">
      <c r="A275" s="13">
        <v>117</v>
      </c>
      <c r="B275" s="13" t="s">
        <v>136</v>
      </c>
      <c r="C275" s="13">
        <v>2</v>
      </c>
      <c r="D275" s="13" t="s">
        <v>102</v>
      </c>
      <c r="E275" s="13">
        <v>21</v>
      </c>
      <c r="F275" s="13">
        <v>26</v>
      </c>
      <c r="G275" s="13">
        <v>5</v>
      </c>
      <c r="H275" s="13">
        <v>305000</v>
      </c>
      <c r="I275" s="13">
        <v>30500</v>
      </c>
      <c r="J275" s="13">
        <v>3779.6587965205999</v>
      </c>
      <c r="K275" s="13">
        <v>27450</v>
      </c>
      <c r="L275" s="13">
        <v>366729.65879651997</v>
      </c>
      <c r="M275" s="13">
        <v>635.41666666666595</v>
      </c>
      <c r="N275" s="13">
        <v>1397.9166666666599</v>
      </c>
      <c r="O275" s="13">
        <v>250</v>
      </c>
      <c r="P275" s="13">
        <v>200</v>
      </c>
      <c r="Q275" s="13">
        <v>2483.3333333333298</v>
      </c>
      <c r="R275" s="13">
        <v>3050</v>
      </c>
      <c r="S275" s="13">
        <v>3667.2965879652002</v>
      </c>
      <c r="T275" s="13">
        <v>9150</v>
      </c>
      <c r="U275" s="13">
        <v>11001.8897638956</v>
      </c>
      <c r="V275" s="15">
        <f t="shared" si="9"/>
        <v>61729.658796519972</v>
      </c>
    </row>
    <row r="276" spans="1:22" x14ac:dyDescent="0.2">
      <c r="A276" s="13">
        <v>118</v>
      </c>
      <c r="B276" s="13" t="s">
        <v>136</v>
      </c>
      <c r="C276" s="13">
        <v>2</v>
      </c>
      <c r="D276" s="13" t="s">
        <v>102</v>
      </c>
      <c r="E276" s="13">
        <v>21</v>
      </c>
      <c r="F276" s="13">
        <v>26</v>
      </c>
      <c r="G276" s="13">
        <v>5</v>
      </c>
      <c r="H276" s="13">
        <v>305000</v>
      </c>
      <c r="I276" s="13">
        <v>30500</v>
      </c>
      <c r="J276" s="13">
        <v>3779.6587965205999</v>
      </c>
      <c r="K276" s="13">
        <v>27450</v>
      </c>
      <c r="L276" s="13">
        <v>366729.65879651997</v>
      </c>
      <c r="M276" s="13">
        <v>635.41666666666595</v>
      </c>
      <c r="N276" s="13">
        <v>1397.9166666666599</v>
      </c>
      <c r="O276" s="13">
        <v>250</v>
      </c>
      <c r="P276" s="13">
        <v>200</v>
      </c>
      <c r="Q276" s="13">
        <v>2483.3333333333298</v>
      </c>
      <c r="R276" s="13">
        <v>3050</v>
      </c>
      <c r="S276" s="13">
        <v>3667.2965879652002</v>
      </c>
      <c r="T276" s="13">
        <v>9150</v>
      </c>
      <c r="U276" s="13">
        <v>11001.8897638956</v>
      </c>
      <c r="V276" s="15">
        <f t="shared" si="9"/>
        <v>61729.658796519972</v>
      </c>
    </row>
    <row r="277" spans="1:22" x14ac:dyDescent="0.2">
      <c r="A277" s="13">
        <v>119</v>
      </c>
      <c r="B277" s="13" t="s">
        <v>136</v>
      </c>
      <c r="C277" s="13">
        <v>2</v>
      </c>
      <c r="D277" s="13" t="s">
        <v>102</v>
      </c>
      <c r="E277" s="13">
        <v>21</v>
      </c>
      <c r="F277" s="13">
        <v>26</v>
      </c>
      <c r="G277" s="13">
        <v>5</v>
      </c>
      <c r="H277" s="13">
        <v>305000</v>
      </c>
      <c r="I277" s="13">
        <v>30500</v>
      </c>
      <c r="J277" s="13">
        <v>3779.6587965205999</v>
      </c>
      <c r="K277" s="13">
        <v>27450</v>
      </c>
      <c r="L277" s="13">
        <v>366729.65879651997</v>
      </c>
      <c r="M277" s="13">
        <v>635.41666666666595</v>
      </c>
      <c r="N277" s="13">
        <v>1397.9166666666599</v>
      </c>
      <c r="O277" s="13">
        <v>250</v>
      </c>
      <c r="P277" s="13">
        <v>200</v>
      </c>
      <c r="Q277" s="13">
        <v>2483.3333333333298</v>
      </c>
      <c r="R277" s="13">
        <v>3050</v>
      </c>
      <c r="S277" s="13">
        <v>3667.2965879652002</v>
      </c>
      <c r="T277" s="13">
        <v>9150</v>
      </c>
      <c r="U277" s="13">
        <v>11001.8897638956</v>
      </c>
      <c r="V277" s="15">
        <f t="shared" si="9"/>
        <v>61729.658796519972</v>
      </c>
    </row>
    <row r="278" spans="1:22" x14ac:dyDescent="0.2">
      <c r="V278" s="14">
        <f>SUM(V236:V277)</f>
        <v>2729477.0034731138</v>
      </c>
    </row>
    <row r="279" spans="1:22" x14ac:dyDescent="0.2">
      <c r="A279" s="13">
        <v>146</v>
      </c>
      <c r="B279" s="13" t="s">
        <v>101</v>
      </c>
      <c r="C279" s="13">
        <v>2</v>
      </c>
      <c r="D279" s="13" t="s">
        <v>104</v>
      </c>
      <c r="E279" s="13">
        <v>20</v>
      </c>
      <c r="F279" s="13">
        <v>27</v>
      </c>
      <c r="G279" s="13">
        <v>7</v>
      </c>
      <c r="H279" s="13">
        <v>676000</v>
      </c>
      <c r="I279" s="13">
        <v>34553.74</v>
      </c>
      <c r="J279" s="13">
        <v>19515.992356670598</v>
      </c>
      <c r="K279" s="13">
        <v>34553.74</v>
      </c>
      <c r="L279" s="13">
        <v>764623.47235666995</v>
      </c>
      <c r="M279" s="13">
        <v>1577.3333333333301</v>
      </c>
      <c r="N279" s="13">
        <v>7097.99999999999</v>
      </c>
      <c r="O279" s="13">
        <v>420</v>
      </c>
      <c r="P279" s="13">
        <v>350</v>
      </c>
      <c r="Q279" s="13">
        <v>9445.3333333333303</v>
      </c>
      <c r="R279" s="13">
        <v>6760</v>
      </c>
      <c r="S279" s="13">
        <v>9175.4816682800392</v>
      </c>
      <c r="T279" s="13">
        <v>20280</v>
      </c>
      <c r="U279" s="13">
        <v>22938.704170700101</v>
      </c>
      <c r="V279" s="15">
        <f t="shared" ref="V279:V312" si="10">L279-H279</f>
        <v>88623.472356669954</v>
      </c>
    </row>
    <row r="280" spans="1:22" x14ac:dyDescent="0.2">
      <c r="A280" s="13">
        <v>147</v>
      </c>
      <c r="B280" s="13" t="s">
        <v>101</v>
      </c>
      <c r="C280" s="13">
        <v>2</v>
      </c>
      <c r="D280" s="13" t="s">
        <v>104</v>
      </c>
      <c r="E280" s="13">
        <v>20</v>
      </c>
      <c r="F280" s="13">
        <v>27</v>
      </c>
      <c r="G280" s="13">
        <v>7</v>
      </c>
      <c r="H280" s="13">
        <v>676000</v>
      </c>
      <c r="I280" s="13">
        <v>34553.74</v>
      </c>
      <c r="J280" s="13">
        <v>19515.992356670598</v>
      </c>
      <c r="K280" s="13">
        <v>34553.74</v>
      </c>
      <c r="L280" s="13">
        <v>764623.47235666995</v>
      </c>
      <c r="M280" s="13">
        <v>1577.3333333333301</v>
      </c>
      <c r="N280" s="13">
        <v>7097.99999999999</v>
      </c>
      <c r="O280" s="13">
        <v>420</v>
      </c>
      <c r="P280" s="13">
        <v>350</v>
      </c>
      <c r="Q280" s="13">
        <v>9445.3333333333303</v>
      </c>
      <c r="R280" s="13">
        <v>6760</v>
      </c>
      <c r="S280" s="13">
        <v>9175.4816682800392</v>
      </c>
      <c r="T280" s="13">
        <v>20280</v>
      </c>
      <c r="U280" s="13">
        <v>22938.704170700101</v>
      </c>
      <c r="V280" s="15">
        <f t="shared" si="10"/>
        <v>88623.472356669954</v>
      </c>
    </row>
    <row r="281" spans="1:22" x14ac:dyDescent="0.2">
      <c r="A281" s="13">
        <v>155</v>
      </c>
      <c r="B281" s="13" t="s">
        <v>101</v>
      </c>
      <c r="C281" s="13">
        <v>2</v>
      </c>
      <c r="D281" s="13" t="s">
        <v>103</v>
      </c>
      <c r="E281" s="13">
        <v>21</v>
      </c>
      <c r="F281" s="13">
        <v>27</v>
      </c>
      <c r="G281" s="13">
        <v>6</v>
      </c>
      <c r="H281" s="13">
        <v>443000</v>
      </c>
      <c r="I281" s="13">
        <v>27172.733999999899</v>
      </c>
      <c r="J281" s="13">
        <v>9857.8198507783309</v>
      </c>
      <c r="K281" s="13">
        <v>27172.733999999899</v>
      </c>
      <c r="L281" s="13">
        <v>507203.28785077803</v>
      </c>
      <c r="M281" s="13">
        <v>886</v>
      </c>
      <c r="N281" s="13">
        <v>3986.99999999999</v>
      </c>
      <c r="O281" s="13">
        <v>360</v>
      </c>
      <c r="P281" s="13">
        <v>300</v>
      </c>
      <c r="Q281" s="13">
        <v>5533</v>
      </c>
      <c r="R281" s="13">
        <v>4430</v>
      </c>
      <c r="S281" s="13">
        <v>6086.4394542093396</v>
      </c>
      <c r="T281" s="13">
        <v>13290</v>
      </c>
      <c r="U281" s="13">
        <v>15216.0986355233</v>
      </c>
      <c r="V281" s="15">
        <f t="shared" si="10"/>
        <v>64203.287850778026</v>
      </c>
    </row>
    <row r="282" spans="1:22" x14ac:dyDescent="0.2">
      <c r="A282" s="13">
        <v>157</v>
      </c>
      <c r="B282" s="13" t="s">
        <v>101</v>
      </c>
      <c r="C282" s="13">
        <v>2</v>
      </c>
      <c r="D282" s="13" t="s">
        <v>103</v>
      </c>
      <c r="E282" s="13">
        <v>21</v>
      </c>
      <c r="F282" s="13">
        <v>27</v>
      </c>
      <c r="G282" s="13">
        <v>6</v>
      </c>
      <c r="H282" s="13">
        <v>443000</v>
      </c>
      <c r="I282" s="13">
        <v>27172.733999999899</v>
      </c>
      <c r="J282" s="13">
        <v>9857.8198507783309</v>
      </c>
      <c r="K282" s="13">
        <v>27172.733999999899</v>
      </c>
      <c r="L282" s="13">
        <v>507203.28785077803</v>
      </c>
      <c r="M282" s="13">
        <v>886</v>
      </c>
      <c r="N282" s="13">
        <v>3986.99999999999</v>
      </c>
      <c r="O282" s="13">
        <v>360</v>
      </c>
      <c r="P282" s="13">
        <v>300</v>
      </c>
      <c r="Q282" s="13">
        <v>5533</v>
      </c>
      <c r="R282" s="13">
        <v>4430</v>
      </c>
      <c r="S282" s="13">
        <v>6086.4394542093396</v>
      </c>
      <c r="T282" s="13">
        <v>13290</v>
      </c>
      <c r="U282" s="13">
        <v>15216.0986355233</v>
      </c>
      <c r="V282" s="15">
        <f t="shared" si="10"/>
        <v>64203.287850778026</v>
      </c>
    </row>
    <row r="283" spans="1:22" x14ac:dyDescent="0.2">
      <c r="A283" s="13">
        <v>159</v>
      </c>
      <c r="B283" s="13" t="s">
        <v>101</v>
      </c>
      <c r="C283" s="13">
        <v>2</v>
      </c>
      <c r="D283" s="13" t="s">
        <v>103</v>
      </c>
      <c r="E283" s="13">
        <v>21</v>
      </c>
      <c r="F283" s="13">
        <v>27</v>
      </c>
      <c r="G283" s="13">
        <v>6</v>
      </c>
      <c r="H283" s="13">
        <v>443000</v>
      </c>
      <c r="I283" s="13">
        <v>27172.733999999899</v>
      </c>
      <c r="J283" s="13">
        <v>9857.8198507783309</v>
      </c>
      <c r="K283" s="13">
        <v>27172.733999999899</v>
      </c>
      <c r="L283" s="13">
        <v>507203.28785077803</v>
      </c>
      <c r="M283" s="13">
        <v>886</v>
      </c>
      <c r="N283" s="13">
        <v>3986.99999999999</v>
      </c>
      <c r="O283" s="13">
        <v>360</v>
      </c>
      <c r="P283" s="13">
        <v>300</v>
      </c>
      <c r="Q283" s="13">
        <v>5533</v>
      </c>
      <c r="R283" s="13">
        <v>4430</v>
      </c>
      <c r="S283" s="13">
        <v>6086.4394542093396</v>
      </c>
      <c r="T283" s="13">
        <v>13290</v>
      </c>
      <c r="U283" s="13">
        <v>15216.0986355233</v>
      </c>
      <c r="V283" s="15">
        <f t="shared" si="10"/>
        <v>64203.287850778026</v>
      </c>
    </row>
    <row r="284" spans="1:22" x14ac:dyDescent="0.2">
      <c r="A284" s="13">
        <v>162</v>
      </c>
      <c r="B284" s="13" t="s">
        <v>101</v>
      </c>
      <c r="C284" s="13">
        <v>2</v>
      </c>
      <c r="D284" s="13" t="s">
        <v>103</v>
      </c>
      <c r="E284" s="13">
        <v>21</v>
      </c>
      <c r="F284" s="13">
        <v>27</v>
      </c>
      <c r="G284" s="13">
        <v>6</v>
      </c>
      <c r="H284" s="13">
        <v>443000</v>
      </c>
      <c r="I284" s="13">
        <v>27172.733999999899</v>
      </c>
      <c r="J284" s="13">
        <v>9857.8198507783309</v>
      </c>
      <c r="K284" s="13">
        <v>27172.733999999899</v>
      </c>
      <c r="L284" s="13">
        <v>507203.28785077803</v>
      </c>
      <c r="M284" s="13">
        <v>886</v>
      </c>
      <c r="N284" s="13">
        <v>3986.99999999999</v>
      </c>
      <c r="O284" s="13">
        <v>360</v>
      </c>
      <c r="P284" s="13">
        <v>300</v>
      </c>
      <c r="Q284" s="13">
        <v>5533</v>
      </c>
      <c r="R284" s="13">
        <v>4430</v>
      </c>
      <c r="S284" s="13">
        <v>6086.4394542093396</v>
      </c>
      <c r="T284" s="13">
        <v>13290</v>
      </c>
      <c r="U284" s="13">
        <v>15216.0986355233</v>
      </c>
      <c r="V284" s="15">
        <f t="shared" si="10"/>
        <v>64203.287850778026</v>
      </c>
    </row>
    <row r="285" spans="1:22" x14ac:dyDescent="0.2">
      <c r="A285" s="13">
        <v>164</v>
      </c>
      <c r="B285" s="13" t="s">
        <v>101</v>
      </c>
      <c r="C285" s="13">
        <v>2</v>
      </c>
      <c r="D285" s="13" t="s">
        <v>103</v>
      </c>
      <c r="E285" s="13">
        <v>21</v>
      </c>
      <c r="F285" s="13">
        <v>27</v>
      </c>
      <c r="G285" s="13">
        <v>6</v>
      </c>
      <c r="H285" s="13">
        <v>443000</v>
      </c>
      <c r="I285" s="13">
        <v>27172.733999999899</v>
      </c>
      <c r="J285" s="13">
        <v>9857.8198507783309</v>
      </c>
      <c r="K285" s="13">
        <v>27172.733999999899</v>
      </c>
      <c r="L285" s="13">
        <v>507203.28785077803</v>
      </c>
      <c r="M285" s="13">
        <v>886</v>
      </c>
      <c r="N285" s="13">
        <v>3986.99999999999</v>
      </c>
      <c r="O285" s="13">
        <v>360</v>
      </c>
      <c r="P285" s="13">
        <v>300</v>
      </c>
      <c r="Q285" s="13">
        <v>5533</v>
      </c>
      <c r="R285" s="13">
        <v>4430</v>
      </c>
      <c r="S285" s="13">
        <v>6086.4394542093396</v>
      </c>
      <c r="T285" s="13">
        <v>13290</v>
      </c>
      <c r="U285" s="13">
        <v>15216.0986355233</v>
      </c>
      <c r="V285" s="15">
        <f t="shared" si="10"/>
        <v>64203.287850778026</v>
      </c>
    </row>
    <row r="286" spans="1:22" x14ac:dyDescent="0.2">
      <c r="A286" s="13">
        <v>165</v>
      </c>
      <c r="B286" s="13" t="s">
        <v>101</v>
      </c>
      <c r="C286" s="13">
        <v>2</v>
      </c>
      <c r="D286" s="13" t="s">
        <v>104</v>
      </c>
      <c r="E286" s="13">
        <v>21</v>
      </c>
      <c r="F286" s="13">
        <v>27</v>
      </c>
      <c r="G286" s="13">
        <v>6</v>
      </c>
      <c r="H286" s="13">
        <v>676000</v>
      </c>
      <c r="I286" s="13">
        <v>34553.74</v>
      </c>
      <c r="J286" s="13">
        <v>16693.871778868899</v>
      </c>
      <c r="K286" s="13">
        <v>34553.74</v>
      </c>
      <c r="L286" s="13">
        <v>761801.351778868</v>
      </c>
      <c r="M286" s="13">
        <v>1352</v>
      </c>
      <c r="N286" s="13">
        <v>6083.99999999999</v>
      </c>
      <c r="O286" s="13">
        <v>360</v>
      </c>
      <c r="P286" s="13">
        <v>300</v>
      </c>
      <c r="Q286" s="13">
        <v>8095.99999999999</v>
      </c>
      <c r="R286" s="13">
        <v>6760</v>
      </c>
      <c r="S286" s="13">
        <v>9141.6162213464195</v>
      </c>
      <c r="T286" s="13">
        <v>20280</v>
      </c>
      <c r="U286" s="13">
        <v>22854.040553366001</v>
      </c>
      <c r="V286" s="15">
        <f t="shared" si="10"/>
        <v>85801.351778868004</v>
      </c>
    </row>
    <row r="287" spans="1:22" x14ac:dyDescent="0.2">
      <c r="A287" s="13">
        <v>168</v>
      </c>
      <c r="B287" s="13" t="s">
        <v>101</v>
      </c>
      <c r="C287" s="13">
        <v>2</v>
      </c>
      <c r="D287" s="13" t="s">
        <v>102</v>
      </c>
      <c r="E287" s="13">
        <v>22</v>
      </c>
      <c r="F287" s="13">
        <v>27</v>
      </c>
      <c r="G287" s="13">
        <v>5</v>
      </c>
      <c r="H287" s="13">
        <v>338000</v>
      </c>
      <c r="I287" s="13">
        <v>27642.991999999998</v>
      </c>
      <c r="J287" s="13">
        <v>5568.9637343662098</v>
      </c>
      <c r="K287" s="13">
        <v>27642.991999999998</v>
      </c>
      <c r="L287" s="13">
        <v>398854.947734366</v>
      </c>
      <c r="M287" s="13">
        <v>563.33333333333303</v>
      </c>
      <c r="N287" s="13">
        <v>2534.99999999999</v>
      </c>
      <c r="O287" s="13">
        <v>300</v>
      </c>
      <c r="P287" s="13">
        <v>250</v>
      </c>
      <c r="Q287" s="13">
        <v>3648.3333333333298</v>
      </c>
      <c r="R287" s="13">
        <v>3380</v>
      </c>
      <c r="S287" s="13">
        <v>4786.2593728123902</v>
      </c>
      <c r="T287" s="13">
        <v>10140</v>
      </c>
      <c r="U287" s="13">
        <v>11965.648432030899</v>
      </c>
      <c r="V287" s="15">
        <f t="shared" si="10"/>
        <v>60854.947734365996</v>
      </c>
    </row>
    <row r="288" spans="1:22" x14ac:dyDescent="0.2">
      <c r="A288" s="13">
        <v>170</v>
      </c>
      <c r="B288" s="13" t="s">
        <v>101</v>
      </c>
      <c r="C288" s="13">
        <v>2</v>
      </c>
      <c r="D288" s="13" t="s">
        <v>102</v>
      </c>
      <c r="E288" s="13">
        <v>22</v>
      </c>
      <c r="F288" s="13">
        <v>27</v>
      </c>
      <c r="G288" s="13">
        <v>5</v>
      </c>
      <c r="H288" s="13">
        <v>338000</v>
      </c>
      <c r="I288" s="13">
        <v>27642.991999999998</v>
      </c>
      <c r="J288" s="13">
        <v>5568.9637343662098</v>
      </c>
      <c r="K288" s="13">
        <v>27642.991999999998</v>
      </c>
      <c r="L288" s="13">
        <v>398854.947734366</v>
      </c>
      <c r="M288" s="13">
        <v>563.33333333333303</v>
      </c>
      <c r="N288" s="13">
        <v>2534.99999999999</v>
      </c>
      <c r="O288" s="13">
        <v>300</v>
      </c>
      <c r="P288" s="13">
        <v>250</v>
      </c>
      <c r="Q288" s="13">
        <v>3648.3333333333298</v>
      </c>
      <c r="R288" s="13">
        <v>3380</v>
      </c>
      <c r="S288" s="13">
        <v>4786.2593728123902</v>
      </c>
      <c r="T288" s="13">
        <v>10140</v>
      </c>
      <c r="U288" s="13">
        <v>11965.648432030899</v>
      </c>
      <c r="V288" s="15">
        <f t="shared" si="10"/>
        <v>60854.947734365996</v>
      </c>
    </row>
    <row r="289" spans="1:22" x14ac:dyDescent="0.2">
      <c r="A289" s="13">
        <v>172</v>
      </c>
      <c r="B289" s="13" t="s">
        <v>101</v>
      </c>
      <c r="C289" s="13">
        <v>2</v>
      </c>
      <c r="D289" s="13" t="s">
        <v>102</v>
      </c>
      <c r="E289" s="13">
        <v>22</v>
      </c>
      <c r="F289" s="13">
        <v>27</v>
      </c>
      <c r="G289" s="13">
        <v>5</v>
      </c>
      <c r="H289" s="13">
        <v>338000</v>
      </c>
      <c r="I289" s="13">
        <v>27642.991999999998</v>
      </c>
      <c r="J289" s="13">
        <v>5568.9637343662098</v>
      </c>
      <c r="K289" s="13">
        <v>27642.991999999998</v>
      </c>
      <c r="L289" s="13">
        <v>398854.947734366</v>
      </c>
      <c r="M289" s="13">
        <v>563.33333333333303</v>
      </c>
      <c r="N289" s="13">
        <v>2534.99999999999</v>
      </c>
      <c r="O289" s="13">
        <v>300</v>
      </c>
      <c r="P289" s="13">
        <v>250</v>
      </c>
      <c r="Q289" s="13">
        <v>3648.3333333333298</v>
      </c>
      <c r="R289" s="13">
        <v>3380</v>
      </c>
      <c r="S289" s="13">
        <v>4786.2593728123902</v>
      </c>
      <c r="T289" s="13">
        <v>10140</v>
      </c>
      <c r="U289" s="13">
        <v>11965.648432030899</v>
      </c>
      <c r="V289" s="15">
        <f t="shared" si="10"/>
        <v>60854.947734365996</v>
      </c>
    </row>
    <row r="290" spans="1:22" x14ac:dyDescent="0.2">
      <c r="A290" s="13">
        <v>174</v>
      </c>
      <c r="B290" s="13" t="s">
        <v>101</v>
      </c>
      <c r="C290" s="13">
        <v>2</v>
      </c>
      <c r="D290" s="13" t="s">
        <v>103</v>
      </c>
      <c r="E290" s="13">
        <v>22</v>
      </c>
      <c r="F290" s="13">
        <v>27</v>
      </c>
      <c r="G290" s="13">
        <v>5</v>
      </c>
      <c r="H290" s="13">
        <v>443000</v>
      </c>
      <c r="I290" s="13">
        <v>27172.733999999899</v>
      </c>
      <c r="J290" s="13">
        <v>8199.7467798370599</v>
      </c>
      <c r="K290" s="13">
        <v>27172.733999999899</v>
      </c>
      <c r="L290" s="13">
        <v>505545.214779837</v>
      </c>
      <c r="M290" s="13">
        <v>738.33333333333303</v>
      </c>
      <c r="N290" s="13">
        <v>3322.49999999999</v>
      </c>
      <c r="O290" s="13">
        <v>300</v>
      </c>
      <c r="P290" s="13">
        <v>250</v>
      </c>
      <c r="Q290" s="13">
        <v>4610.8333333333303</v>
      </c>
      <c r="R290" s="13">
        <v>4430</v>
      </c>
      <c r="S290" s="13">
        <v>6066.54257735804</v>
      </c>
      <c r="T290" s="13">
        <v>13290</v>
      </c>
      <c r="U290" s="13">
        <v>15166.3564433951</v>
      </c>
      <c r="V290" s="15">
        <f t="shared" si="10"/>
        <v>62545.214779836999</v>
      </c>
    </row>
    <row r="291" spans="1:22" x14ac:dyDescent="0.2">
      <c r="A291" s="13">
        <v>179</v>
      </c>
      <c r="B291" s="13" t="s">
        <v>101</v>
      </c>
      <c r="C291" s="13">
        <v>2</v>
      </c>
      <c r="D291" s="13" t="s">
        <v>103</v>
      </c>
      <c r="E291" s="13">
        <v>22</v>
      </c>
      <c r="F291" s="13">
        <v>27</v>
      </c>
      <c r="G291" s="13">
        <v>5</v>
      </c>
      <c r="H291" s="13">
        <v>443000</v>
      </c>
      <c r="I291" s="13">
        <v>27172.733999999899</v>
      </c>
      <c r="J291" s="13">
        <v>8199.7467798370599</v>
      </c>
      <c r="K291" s="13">
        <v>27172.733999999899</v>
      </c>
      <c r="L291" s="13">
        <v>505545.214779837</v>
      </c>
      <c r="M291" s="13">
        <v>738.33333333333303</v>
      </c>
      <c r="N291" s="13">
        <v>3322.49999999999</v>
      </c>
      <c r="O291" s="13">
        <v>300</v>
      </c>
      <c r="P291" s="13">
        <v>250</v>
      </c>
      <c r="Q291" s="13">
        <v>4610.8333333333303</v>
      </c>
      <c r="R291" s="13">
        <v>4430</v>
      </c>
      <c r="S291" s="13">
        <v>6066.54257735804</v>
      </c>
      <c r="T291" s="13">
        <v>13290</v>
      </c>
      <c r="U291" s="13">
        <v>15166.3564433951</v>
      </c>
      <c r="V291" s="15">
        <f t="shared" si="10"/>
        <v>62545.214779836999</v>
      </c>
    </row>
    <row r="292" spans="1:22" x14ac:dyDescent="0.2">
      <c r="A292" s="13">
        <v>181</v>
      </c>
      <c r="B292" s="13" t="s">
        <v>101</v>
      </c>
      <c r="C292" s="13">
        <v>2</v>
      </c>
      <c r="D292" s="13" t="s">
        <v>103</v>
      </c>
      <c r="E292" s="13">
        <v>22</v>
      </c>
      <c r="F292" s="13">
        <v>27</v>
      </c>
      <c r="G292" s="13">
        <v>5</v>
      </c>
      <c r="H292" s="13">
        <v>443000</v>
      </c>
      <c r="I292" s="13">
        <v>27172.733999999899</v>
      </c>
      <c r="J292" s="13">
        <v>8199.7467798370599</v>
      </c>
      <c r="K292" s="13">
        <v>27172.733999999899</v>
      </c>
      <c r="L292" s="13">
        <v>505545.214779837</v>
      </c>
      <c r="M292" s="13">
        <v>738.33333333333303</v>
      </c>
      <c r="N292" s="13">
        <v>3322.49999999999</v>
      </c>
      <c r="O292" s="13">
        <v>300</v>
      </c>
      <c r="P292" s="13">
        <v>250</v>
      </c>
      <c r="Q292" s="13">
        <v>4610.8333333333303</v>
      </c>
      <c r="R292" s="13">
        <v>4430</v>
      </c>
      <c r="S292" s="13">
        <v>6066.54257735804</v>
      </c>
      <c r="T292" s="13">
        <v>13290</v>
      </c>
      <c r="U292" s="13">
        <v>15166.3564433951</v>
      </c>
      <c r="V292" s="15">
        <f t="shared" si="10"/>
        <v>62545.214779836999</v>
      </c>
    </row>
    <row r="293" spans="1:22" x14ac:dyDescent="0.2">
      <c r="A293" s="13">
        <v>185</v>
      </c>
      <c r="B293" s="13" t="s">
        <v>101</v>
      </c>
      <c r="C293" s="13">
        <v>2</v>
      </c>
      <c r="D293" s="13" t="s">
        <v>102</v>
      </c>
      <c r="E293" s="13">
        <v>23</v>
      </c>
      <c r="F293" s="13">
        <v>27</v>
      </c>
      <c r="G293" s="13">
        <v>4</v>
      </c>
      <c r="H293" s="13">
        <v>338000</v>
      </c>
      <c r="I293" s="13">
        <v>27642.991999999998</v>
      </c>
      <c r="J293" s="13">
        <v>4447.8784912198998</v>
      </c>
      <c r="K293" s="13">
        <v>27642.991999999998</v>
      </c>
      <c r="L293" s="13">
        <v>397733.86249121901</v>
      </c>
      <c r="M293" s="13">
        <v>450.666666666666</v>
      </c>
      <c r="N293" s="13">
        <v>2027.99999999999</v>
      </c>
      <c r="O293" s="13">
        <v>240</v>
      </c>
      <c r="P293" s="13">
        <v>200</v>
      </c>
      <c r="Q293" s="13">
        <v>2918.6666666666601</v>
      </c>
      <c r="R293" s="13">
        <v>3380</v>
      </c>
      <c r="S293" s="13">
        <v>4772.8063498946303</v>
      </c>
      <c r="T293" s="13">
        <v>10140</v>
      </c>
      <c r="U293" s="13">
        <v>11932.0158747365</v>
      </c>
      <c r="V293" s="15">
        <f t="shared" si="10"/>
        <v>59733.862491219013</v>
      </c>
    </row>
    <row r="294" spans="1:22" x14ac:dyDescent="0.2">
      <c r="A294" s="13">
        <v>186</v>
      </c>
      <c r="B294" s="13" t="s">
        <v>101</v>
      </c>
      <c r="C294" s="13">
        <v>2</v>
      </c>
      <c r="D294" s="13" t="s">
        <v>102</v>
      </c>
      <c r="E294" s="13">
        <v>23</v>
      </c>
      <c r="F294" s="13">
        <v>27</v>
      </c>
      <c r="G294" s="13">
        <v>4</v>
      </c>
      <c r="H294" s="13">
        <v>338000</v>
      </c>
      <c r="I294" s="13">
        <v>27642.991999999998</v>
      </c>
      <c r="J294" s="13">
        <v>4447.8784912198998</v>
      </c>
      <c r="K294" s="13">
        <v>27642.991999999998</v>
      </c>
      <c r="L294" s="13">
        <v>397733.86249121901</v>
      </c>
      <c r="M294" s="13">
        <v>450.666666666666</v>
      </c>
      <c r="N294" s="13">
        <v>2027.99999999999</v>
      </c>
      <c r="O294" s="13">
        <v>240</v>
      </c>
      <c r="P294" s="13">
        <v>200</v>
      </c>
      <c r="Q294" s="13">
        <v>2918.6666666666601</v>
      </c>
      <c r="R294" s="13">
        <v>3380</v>
      </c>
      <c r="S294" s="13">
        <v>4772.8063498946303</v>
      </c>
      <c r="T294" s="13">
        <v>10140</v>
      </c>
      <c r="U294" s="13">
        <v>11932.0158747365</v>
      </c>
      <c r="V294" s="15">
        <f t="shared" si="10"/>
        <v>59733.862491219013</v>
      </c>
    </row>
    <row r="295" spans="1:22" x14ac:dyDescent="0.2">
      <c r="A295" s="13">
        <v>73</v>
      </c>
      <c r="B295" s="13" t="s">
        <v>136</v>
      </c>
      <c r="C295" s="13">
        <v>2</v>
      </c>
      <c r="D295" s="13" t="s">
        <v>104</v>
      </c>
      <c r="E295" s="13">
        <v>19</v>
      </c>
      <c r="F295" s="13">
        <v>27</v>
      </c>
      <c r="G295" s="13">
        <v>8</v>
      </c>
      <c r="H295" s="13">
        <v>630000</v>
      </c>
      <c r="I295" s="13">
        <v>37800</v>
      </c>
      <c r="J295" s="13">
        <v>16689.945856031802</v>
      </c>
      <c r="K295" s="13">
        <v>37800</v>
      </c>
      <c r="L295" s="13">
        <v>722289.94585603103</v>
      </c>
      <c r="M295" s="13">
        <v>2100</v>
      </c>
      <c r="N295" s="13">
        <v>4620</v>
      </c>
      <c r="O295" s="13">
        <v>400</v>
      </c>
      <c r="P295" s="13">
        <v>320</v>
      </c>
      <c r="Q295" s="13">
        <v>7440</v>
      </c>
      <c r="R295" s="13">
        <v>6300</v>
      </c>
      <c r="S295" s="13">
        <v>7222.8994585603104</v>
      </c>
      <c r="T295" s="13">
        <v>18900</v>
      </c>
      <c r="U295" s="13">
        <v>21668.698375680899</v>
      </c>
      <c r="V295" s="15">
        <f t="shared" si="10"/>
        <v>92289.94585603103</v>
      </c>
    </row>
    <row r="296" spans="1:22" x14ac:dyDescent="0.2">
      <c r="A296" s="13">
        <v>90</v>
      </c>
      <c r="B296" s="13" t="s">
        <v>136</v>
      </c>
      <c r="C296" s="13">
        <v>2</v>
      </c>
      <c r="D296" s="13" t="s">
        <v>103</v>
      </c>
      <c r="E296" s="13">
        <v>20</v>
      </c>
      <c r="F296" s="13">
        <v>27</v>
      </c>
      <c r="G296" s="13">
        <v>7</v>
      </c>
      <c r="H296" s="13">
        <v>405000</v>
      </c>
      <c r="I296" s="13">
        <v>32400</v>
      </c>
      <c r="J296" s="13">
        <v>8209.4329593602797</v>
      </c>
      <c r="K296" s="13">
        <v>28350</v>
      </c>
      <c r="L296" s="13">
        <v>473959.43295936001</v>
      </c>
      <c r="M296" s="13">
        <v>1181.25</v>
      </c>
      <c r="N296" s="13">
        <v>2598.75</v>
      </c>
      <c r="O296" s="13">
        <v>350</v>
      </c>
      <c r="P296" s="13">
        <v>280</v>
      </c>
      <c r="Q296" s="13">
        <v>4410</v>
      </c>
      <c r="R296" s="13">
        <v>4050</v>
      </c>
      <c r="S296" s="13">
        <v>4739.5943295936004</v>
      </c>
      <c r="T296" s="13">
        <v>12150</v>
      </c>
      <c r="U296" s="13">
        <v>14218.7829887808</v>
      </c>
      <c r="V296" s="15">
        <f t="shared" si="10"/>
        <v>68959.432959360012</v>
      </c>
    </row>
    <row r="297" spans="1:22" x14ac:dyDescent="0.2">
      <c r="A297" s="13">
        <v>91</v>
      </c>
      <c r="B297" s="13" t="s">
        <v>136</v>
      </c>
      <c r="C297" s="13">
        <v>2</v>
      </c>
      <c r="D297" s="13" t="s">
        <v>103</v>
      </c>
      <c r="E297" s="13">
        <v>20</v>
      </c>
      <c r="F297" s="13">
        <v>27</v>
      </c>
      <c r="G297" s="13">
        <v>7</v>
      </c>
      <c r="H297" s="13">
        <v>405000</v>
      </c>
      <c r="I297" s="13">
        <v>32400</v>
      </c>
      <c r="J297" s="13">
        <v>8209.4329593602797</v>
      </c>
      <c r="K297" s="13">
        <v>28350</v>
      </c>
      <c r="L297" s="13">
        <v>473959.43295936001</v>
      </c>
      <c r="M297" s="13">
        <v>1181.25</v>
      </c>
      <c r="N297" s="13">
        <v>2598.75</v>
      </c>
      <c r="O297" s="13">
        <v>350</v>
      </c>
      <c r="P297" s="13">
        <v>280</v>
      </c>
      <c r="Q297" s="13">
        <v>4410</v>
      </c>
      <c r="R297" s="13">
        <v>4050</v>
      </c>
      <c r="S297" s="13">
        <v>4739.5943295936004</v>
      </c>
      <c r="T297" s="13">
        <v>12150</v>
      </c>
      <c r="U297" s="13">
        <v>14218.7829887808</v>
      </c>
      <c r="V297" s="15">
        <f t="shared" si="10"/>
        <v>68959.432959360012</v>
      </c>
    </row>
    <row r="298" spans="1:22" x14ac:dyDescent="0.2">
      <c r="A298" s="13">
        <v>95</v>
      </c>
      <c r="B298" s="13" t="s">
        <v>136</v>
      </c>
      <c r="C298" s="13">
        <v>2</v>
      </c>
      <c r="D298" s="13" t="s">
        <v>103</v>
      </c>
      <c r="E298" s="13">
        <v>20</v>
      </c>
      <c r="F298" s="13">
        <v>27</v>
      </c>
      <c r="G298" s="13">
        <v>7</v>
      </c>
      <c r="H298" s="13">
        <v>405000</v>
      </c>
      <c r="I298" s="13">
        <v>32400</v>
      </c>
      <c r="J298" s="13">
        <v>8209.4329593602797</v>
      </c>
      <c r="K298" s="13">
        <v>28350</v>
      </c>
      <c r="L298" s="13">
        <v>473959.43295936001</v>
      </c>
      <c r="M298" s="13">
        <v>1181.25</v>
      </c>
      <c r="N298" s="13">
        <v>2598.75</v>
      </c>
      <c r="O298" s="13">
        <v>350</v>
      </c>
      <c r="P298" s="13">
        <v>280</v>
      </c>
      <c r="Q298" s="13">
        <v>4410</v>
      </c>
      <c r="R298" s="13">
        <v>4050</v>
      </c>
      <c r="S298" s="13">
        <v>4739.5943295936004</v>
      </c>
      <c r="T298" s="13">
        <v>12150</v>
      </c>
      <c r="U298" s="13">
        <v>14218.7829887808</v>
      </c>
      <c r="V298" s="15">
        <f t="shared" si="10"/>
        <v>68959.432959360012</v>
      </c>
    </row>
    <row r="299" spans="1:22" x14ac:dyDescent="0.2">
      <c r="A299" s="13">
        <v>96</v>
      </c>
      <c r="B299" s="13" t="s">
        <v>136</v>
      </c>
      <c r="C299" s="13">
        <v>2</v>
      </c>
      <c r="D299" s="13" t="s">
        <v>103</v>
      </c>
      <c r="E299" s="13">
        <v>20</v>
      </c>
      <c r="F299" s="13">
        <v>27</v>
      </c>
      <c r="G299" s="13">
        <v>7</v>
      </c>
      <c r="H299" s="13">
        <v>405000</v>
      </c>
      <c r="I299" s="13">
        <v>32400</v>
      </c>
      <c r="J299" s="13">
        <v>8209.4329593602797</v>
      </c>
      <c r="K299" s="13">
        <v>28350</v>
      </c>
      <c r="L299" s="13">
        <v>473959.43295936001</v>
      </c>
      <c r="M299" s="13">
        <v>1181.25</v>
      </c>
      <c r="N299" s="13">
        <v>2598.75</v>
      </c>
      <c r="O299" s="13">
        <v>350</v>
      </c>
      <c r="P299" s="13">
        <v>280</v>
      </c>
      <c r="Q299" s="13">
        <v>4410</v>
      </c>
      <c r="R299" s="13">
        <v>4050</v>
      </c>
      <c r="S299" s="13">
        <v>4739.5943295936004</v>
      </c>
      <c r="T299" s="13">
        <v>12150</v>
      </c>
      <c r="U299" s="13">
        <v>14218.7829887808</v>
      </c>
      <c r="V299" s="15">
        <f t="shared" si="10"/>
        <v>68959.432959360012</v>
      </c>
    </row>
    <row r="300" spans="1:22" x14ac:dyDescent="0.2">
      <c r="A300" s="13">
        <v>103</v>
      </c>
      <c r="B300" s="13" t="s">
        <v>136</v>
      </c>
      <c r="C300" s="13">
        <v>2</v>
      </c>
      <c r="D300" s="13" t="s">
        <v>104</v>
      </c>
      <c r="E300" s="13">
        <v>20</v>
      </c>
      <c r="F300" s="13">
        <v>27</v>
      </c>
      <c r="G300" s="13">
        <v>7</v>
      </c>
      <c r="H300" s="13">
        <v>630000</v>
      </c>
      <c r="I300" s="13">
        <v>37800</v>
      </c>
      <c r="J300" s="13">
        <v>14579.759454704799</v>
      </c>
      <c r="K300" s="13">
        <v>37800</v>
      </c>
      <c r="L300" s="13">
        <v>720179.75945470401</v>
      </c>
      <c r="M300" s="13">
        <v>1837.5</v>
      </c>
      <c r="N300" s="13">
        <v>4042.5</v>
      </c>
      <c r="O300" s="13">
        <v>350</v>
      </c>
      <c r="P300" s="13">
        <v>280</v>
      </c>
      <c r="Q300" s="13">
        <v>6510</v>
      </c>
      <c r="R300" s="13">
        <v>6300</v>
      </c>
      <c r="S300" s="13">
        <v>7201.7975945470398</v>
      </c>
      <c r="T300" s="13">
        <v>18900</v>
      </c>
      <c r="U300" s="13">
        <v>21605.392783641099</v>
      </c>
      <c r="V300" s="15">
        <f t="shared" si="10"/>
        <v>90179.759454704006</v>
      </c>
    </row>
    <row r="301" spans="1:22" x14ac:dyDescent="0.2">
      <c r="A301" s="13">
        <v>106</v>
      </c>
      <c r="B301" s="13" t="s">
        <v>136</v>
      </c>
      <c r="C301" s="13">
        <v>2</v>
      </c>
      <c r="D301" s="13" t="s">
        <v>102</v>
      </c>
      <c r="E301" s="13">
        <v>21</v>
      </c>
      <c r="F301" s="13">
        <v>27</v>
      </c>
      <c r="G301" s="13">
        <v>6</v>
      </c>
      <c r="H301" s="13">
        <v>305000</v>
      </c>
      <c r="I301" s="13">
        <v>30500</v>
      </c>
      <c r="J301" s="13">
        <v>4541.1927353126903</v>
      </c>
      <c r="K301" s="13">
        <v>27450</v>
      </c>
      <c r="L301" s="13">
        <v>367491.19273531198</v>
      </c>
      <c r="M301" s="13">
        <v>762.5</v>
      </c>
      <c r="N301" s="13">
        <v>1677.5</v>
      </c>
      <c r="O301" s="13">
        <v>300</v>
      </c>
      <c r="P301" s="13">
        <v>240</v>
      </c>
      <c r="Q301" s="13">
        <v>2980</v>
      </c>
      <c r="R301" s="13">
        <v>3050</v>
      </c>
      <c r="S301" s="13">
        <v>3674.9119273531201</v>
      </c>
      <c r="T301" s="13">
        <v>9150</v>
      </c>
      <c r="U301" s="13">
        <v>11024.735782059301</v>
      </c>
      <c r="V301" s="15">
        <f t="shared" si="10"/>
        <v>62491.192735311983</v>
      </c>
    </row>
    <row r="302" spans="1:22" x14ac:dyDescent="0.2">
      <c r="A302" s="13">
        <v>112</v>
      </c>
      <c r="B302" s="13" t="s">
        <v>136</v>
      </c>
      <c r="C302" s="13">
        <v>2</v>
      </c>
      <c r="D302" s="13" t="s">
        <v>102</v>
      </c>
      <c r="E302" s="13">
        <v>21</v>
      </c>
      <c r="F302" s="13">
        <v>27</v>
      </c>
      <c r="G302" s="13">
        <v>6</v>
      </c>
      <c r="H302" s="13">
        <v>305000</v>
      </c>
      <c r="I302" s="13">
        <v>30500</v>
      </c>
      <c r="J302" s="13">
        <v>4541.1927353126903</v>
      </c>
      <c r="K302" s="13">
        <v>27450</v>
      </c>
      <c r="L302" s="13">
        <v>367491.19273531198</v>
      </c>
      <c r="M302" s="13">
        <v>762.5</v>
      </c>
      <c r="N302" s="13">
        <v>1677.5</v>
      </c>
      <c r="O302" s="13">
        <v>300</v>
      </c>
      <c r="P302" s="13">
        <v>240</v>
      </c>
      <c r="Q302" s="13">
        <v>2980</v>
      </c>
      <c r="R302" s="13">
        <v>3050</v>
      </c>
      <c r="S302" s="13">
        <v>3674.9119273531201</v>
      </c>
      <c r="T302" s="13">
        <v>9150</v>
      </c>
      <c r="U302" s="13">
        <v>11024.735782059301</v>
      </c>
      <c r="V302" s="15">
        <f t="shared" si="10"/>
        <v>62491.192735311983</v>
      </c>
    </row>
    <row r="303" spans="1:22" x14ac:dyDescent="0.2">
      <c r="A303" s="13">
        <v>115</v>
      </c>
      <c r="B303" s="13" t="s">
        <v>136</v>
      </c>
      <c r="C303" s="13">
        <v>2</v>
      </c>
      <c r="D303" s="13" t="s">
        <v>102</v>
      </c>
      <c r="E303" s="13">
        <v>21</v>
      </c>
      <c r="F303" s="13">
        <v>27</v>
      </c>
      <c r="G303" s="13">
        <v>6</v>
      </c>
      <c r="H303" s="13">
        <v>305000</v>
      </c>
      <c r="I303" s="13">
        <v>30500</v>
      </c>
      <c r="J303" s="13">
        <v>4541.1927353126903</v>
      </c>
      <c r="K303" s="13">
        <v>27450</v>
      </c>
      <c r="L303" s="13">
        <v>367491.19273531198</v>
      </c>
      <c r="M303" s="13">
        <v>762.5</v>
      </c>
      <c r="N303" s="13">
        <v>1677.5</v>
      </c>
      <c r="O303" s="13">
        <v>300</v>
      </c>
      <c r="P303" s="13">
        <v>240</v>
      </c>
      <c r="Q303" s="13">
        <v>2980</v>
      </c>
      <c r="R303" s="13">
        <v>3050</v>
      </c>
      <c r="S303" s="13">
        <v>3674.9119273531201</v>
      </c>
      <c r="T303" s="13">
        <v>9150</v>
      </c>
      <c r="U303" s="13">
        <v>11024.735782059301</v>
      </c>
      <c r="V303" s="15">
        <f t="shared" si="10"/>
        <v>62491.192735311983</v>
      </c>
    </row>
    <row r="304" spans="1:22" x14ac:dyDescent="0.2">
      <c r="A304" s="13">
        <v>116</v>
      </c>
      <c r="B304" s="13" t="s">
        <v>136</v>
      </c>
      <c r="C304" s="13">
        <v>2</v>
      </c>
      <c r="D304" s="13" t="s">
        <v>102</v>
      </c>
      <c r="E304" s="13">
        <v>21</v>
      </c>
      <c r="F304" s="13">
        <v>27</v>
      </c>
      <c r="G304" s="13">
        <v>6</v>
      </c>
      <c r="H304" s="13">
        <v>305000</v>
      </c>
      <c r="I304" s="13">
        <v>30500</v>
      </c>
      <c r="J304" s="13">
        <v>4541.1927353126903</v>
      </c>
      <c r="K304" s="13">
        <v>27450</v>
      </c>
      <c r="L304" s="13">
        <v>367491.19273531198</v>
      </c>
      <c r="M304" s="13">
        <v>762.5</v>
      </c>
      <c r="N304" s="13">
        <v>1677.5</v>
      </c>
      <c r="O304" s="13">
        <v>300</v>
      </c>
      <c r="P304" s="13">
        <v>240</v>
      </c>
      <c r="Q304" s="13">
        <v>2980</v>
      </c>
      <c r="R304" s="13">
        <v>3050</v>
      </c>
      <c r="S304" s="13">
        <v>3674.9119273531201</v>
      </c>
      <c r="T304" s="13">
        <v>9150</v>
      </c>
      <c r="U304" s="13">
        <v>11024.735782059301</v>
      </c>
      <c r="V304" s="15">
        <f t="shared" si="10"/>
        <v>62491.192735311983</v>
      </c>
    </row>
    <row r="305" spans="1:22" x14ac:dyDescent="0.2">
      <c r="A305" s="13">
        <v>121</v>
      </c>
      <c r="B305" s="13" t="s">
        <v>136</v>
      </c>
      <c r="C305" s="13">
        <v>2</v>
      </c>
      <c r="D305" s="13" t="s">
        <v>103</v>
      </c>
      <c r="E305" s="13">
        <v>21</v>
      </c>
      <c r="F305" s="13">
        <v>27</v>
      </c>
      <c r="G305" s="13">
        <v>6</v>
      </c>
      <c r="H305" s="13">
        <v>405000</v>
      </c>
      <c r="I305" s="13">
        <v>32400</v>
      </c>
      <c r="J305" s="13">
        <v>7026.5464748600298</v>
      </c>
      <c r="K305" s="13">
        <v>28350</v>
      </c>
      <c r="L305" s="13">
        <v>472776.54647485999</v>
      </c>
      <c r="M305" s="13">
        <v>1012.5</v>
      </c>
      <c r="N305" s="13">
        <v>2227.5</v>
      </c>
      <c r="O305" s="13">
        <v>300</v>
      </c>
      <c r="P305" s="13">
        <v>240</v>
      </c>
      <c r="Q305" s="13">
        <v>3780</v>
      </c>
      <c r="R305" s="13">
        <v>4050</v>
      </c>
      <c r="S305" s="13">
        <v>4727.7654647485997</v>
      </c>
      <c r="T305" s="13">
        <v>12150</v>
      </c>
      <c r="U305" s="13">
        <v>14183.296394245799</v>
      </c>
      <c r="V305" s="15">
        <f t="shared" si="10"/>
        <v>67776.546474859992</v>
      </c>
    </row>
    <row r="306" spans="1:22" x14ac:dyDescent="0.2">
      <c r="A306" s="13">
        <v>122</v>
      </c>
      <c r="B306" s="13" t="s">
        <v>136</v>
      </c>
      <c r="C306" s="13">
        <v>2</v>
      </c>
      <c r="D306" s="13" t="s">
        <v>103</v>
      </c>
      <c r="E306" s="13">
        <v>21</v>
      </c>
      <c r="F306" s="13">
        <v>27</v>
      </c>
      <c r="G306" s="13">
        <v>6</v>
      </c>
      <c r="H306" s="13">
        <v>405000</v>
      </c>
      <c r="I306" s="13">
        <v>32400</v>
      </c>
      <c r="J306" s="13">
        <v>7026.5464748600298</v>
      </c>
      <c r="K306" s="13">
        <v>28350</v>
      </c>
      <c r="L306" s="13">
        <v>472776.54647485999</v>
      </c>
      <c r="M306" s="13">
        <v>1012.5</v>
      </c>
      <c r="N306" s="13">
        <v>2227.5</v>
      </c>
      <c r="O306" s="13">
        <v>300</v>
      </c>
      <c r="P306" s="13">
        <v>240</v>
      </c>
      <c r="Q306" s="13">
        <v>3780</v>
      </c>
      <c r="R306" s="13">
        <v>4050</v>
      </c>
      <c r="S306" s="13">
        <v>4727.7654647485997</v>
      </c>
      <c r="T306" s="13">
        <v>12150</v>
      </c>
      <c r="U306" s="13">
        <v>14183.296394245799</v>
      </c>
      <c r="V306" s="15">
        <f t="shared" si="10"/>
        <v>67776.546474859992</v>
      </c>
    </row>
    <row r="307" spans="1:22" x14ac:dyDescent="0.2">
      <c r="A307" s="13">
        <v>126</v>
      </c>
      <c r="B307" s="13" t="s">
        <v>136</v>
      </c>
      <c r="C307" s="13">
        <v>2</v>
      </c>
      <c r="D307" s="13" t="s">
        <v>103</v>
      </c>
      <c r="E307" s="13">
        <v>21</v>
      </c>
      <c r="F307" s="13">
        <v>27</v>
      </c>
      <c r="G307" s="13">
        <v>6</v>
      </c>
      <c r="H307" s="13">
        <v>405000</v>
      </c>
      <c r="I307" s="13">
        <v>32400</v>
      </c>
      <c r="J307" s="13">
        <v>7026.5464748600298</v>
      </c>
      <c r="K307" s="13">
        <v>28350</v>
      </c>
      <c r="L307" s="13">
        <v>472776.54647485999</v>
      </c>
      <c r="M307" s="13">
        <v>1012.5</v>
      </c>
      <c r="N307" s="13">
        <v>2227.5</v>
      </c>
      <c r="O307" s="13">
        <v>300</v>
      </c>
      <c r="P307" s="13">
        <v>240</v>
      </c>
      <c r="Q307" s="13">
        <v>3780</v>
      </c>
      <c r="R307" s="13">
        <v>4050</v>
      </c>
      <c r="S307" s="13">
        <v>4727.7654647485997</v>
      </c>
      <c r="T307" s="13">
        <v>12150</v>
      </c>
      <c r="U307" s="13">
        <v>14183.296394245799</v>
      </c>
      <c r="V307" s="15">
        <f t="shared" si="10"/>
        <v>67776.546474859992</v>
      </c>
    </row>
    <row r="308" spans="1:22" x14ac:dyDescent="0.2">
      <c r="A308" s="13">
        <v>128</v>
      </c>
      <c r="B308" s="13" t="s">
        <v>136</v>
      </c>
      <c r="C308" s="13">
        <v>2</v>
      </c>
      <c r="D308" s="13" t="s">
        <v>103</v>
      </c>
      <c r="E308" s="13">
        <v>21</v>
      </c>
      <c r="F308" s="13">
        <v>27</v>
      </c>
      <c r="G308" s="13">
        <v>6</v>
      </c>
      <c r="H308" s="13">
        <v>405000</v>
      </c>
      <c r="I308" s="13">
        <v>32400</v>
      </c>
      <c r="J308" s="13">
        <v>7026.5464748600298</v>
      </c>
      <c r="K308" s="13">
        <v>28350</v>
      </c>
      <c r="L308" s="13">
        <v>472776.54647485999</v>
      </c>
      <c r="M308" s="13">
        <v>1012.5</v>
      </c>
      <c r="N308" s="13">
        <v>2227.5</v>
      </c>
      <c r="O308" s="13">
        <v>300</v>
      </c>
      <c r="P308" s="13">
        <v>240</v>
      </c>
      <c r="Q308" s="13">
        <v>3780</v>
      </c>
      <c r="R308" s="13">
        <v>4050</v>
      </c>
      <c r="S308" s="13">
        <v>4727.7654647485997</v>
      </c>
      <c r="T308" s="13">
        <v>12150</v>
      </c>
      <c r="U308" s="13">
        <v>14183.296394245799</v>
      </c>
      <c r="V308" s="15">
        <f t="shared" si="10"/>
        <v>67776.546474859992</v>
      </c>
    </row>
    <row r="309" spans="1:22" x14ac:dyDescent="0.2">
      <c r="A309" s="13">
        <v>129</v>
      </c>
      <c r="B309" s="13" t="s">
        <v>136</v>
      </c>
      <c r="C309" s="13">
        <v>2</v>
      </c>
      <c r="D309" s="13" t="s">
        <v>103</v>
      </c>
      <c r="E309" s="13">
        <v>21</v>
      </c>
      <c r="F309" s="13">
        <v>27</v>
      </c>
      <c r="G309" s="13">
        <v>6</v>
      </c>
      <c r="H309" s="13">
        <v>405000</v>
      </c>
      <c r="I309" s="13">
        <v>32400</v>
      </c>
      <c r="J309" s="13">
        <v>7026.5464748600298</v>
      </c>
      <c r="K309" s="13">
        <v>28350</v>
      </c>
      <c r="L309" s="13">
        <v>472776.54647485999</v>
      </c>
      <c r="M309" s="13">
        <v>1012.5</v>
      </c>
      <c r="N309" s="13">
        <v>2227.5</v>
      </c>
      <c r="O309" s="13">
        <v>300</v>
      </c>
      <c r="P309" s="13">
        <v>240</v>
      </c>
      <c r="Q309" s="13">
        <v>3780</v>
      </c>
      <c r="R309" s="13">
        <v>4050</v>
      </c>
      <c r="S309" s="13">
        <v>4727.7654647485997</v>
      </c>
      <c r="T309" s="13">
        <v>12150</v>
      </c>
      <c r="U309" s="13">
        <v>14183.296394245799</v>
      </c>
      <c r="V309" s="15">
        <f t="shared" si="10"/>
        <v>67776.546474859992</v>
      </c>
    </row>
    <row r="310" spans="1:22" x14ac:dyDescent="0.2">
      <c r="A310" s="13">
        <v>132</v>
      </c>
      <c r="B310" s="13" t="s">
        <v>136</v>
      </c>
      <c r="C310" s="13">
        <v>2</v>
      </c>
      <c r="D310" s="13" t="s">
        <v>103</v>
      </c>
      <c r="E310" s="13">
        <v>21</v>
      </c>
      <c r="F310" s="13">
        <v>27</v>
      </c>
      <c r="G310" s="13">
        <v>6</v>
      </c>
      <c r="H310" s="13">
        <v>405000</v>
      </c>
      <c r="I310" s="13">
        <v>32400</v>
      </c>
      <c r="J310" s="13">
        <v>7026.5464748600298</v>
      </c>
      <c r="K310" s="13">
        <v>28350</v>
      </c>
      <c r="L310" s="13">
        <v>472776.54647485999</v>
      </c>
      <c r="M310" s="13">
        <v>1012.5</v>
      </c>
      <c r="N310" s="13">
        <v>2227.5</v>
      </c>
      <c r="O310" s="13">
        <v>300</v>
      </c>
      <c r="P310" s="13">
        <v>240</v>
      </c>
      <c r="Q310" s="13">
        <v>3780</v>
      </c>
      <c r="R310" s="13">
        <v>4050</v>
      </c>
      <c r="S310" s="13">
        <v>4727.7654647485997</v>
      </c>
      <c r="T310" s="13">
        <v>12150</v>
      </c>
      <c r="U310" s="13">
        <v>14183.296394245799</v>
      </c>
      <c r="V310" s="15">
        <f t="shared" si="10"/>
        <v>67776.546474859992</v>
      </c>
    </row>
    <row r="311" spans="1:22" x14ac:dyDescent="0.2">
      <c r="A311" s="13">
        <v>141</v>
      </c>
      <c r="B311" s="13" t="s">
        <v>136</v>
      </c>
      <c r="C311" s="13">
        <v>2</v>
      </c>
      <c r="D311" s="13" t="s">
        <v>102</v>
      </c>
      <c r="E311" s="13">
        <v>22</v>
      </c>
      <c r="F311" s="13">
        <v>27</v>
      </c>
      <c r="G311" s="13">
        <v>5</v>
      </c>
      <c r="H311" s="13">
        <v>305000</v>
      </c>
      <c r="I311" s="13">
        <v>30500</v>
      </c>
      <c r="J311" s="13">
        <v>3779.6587965205999</v>
      </c>
      <c r="K311" s="13">
        <v>27450</v>
      </c>
      <c r="L311" s="13">
        <v>366729.65879651997</v>
      </c>
      <c r="M311" s="13">
        <v>635.41666666666595</v>
      </c>
      <c r="N311" s="13">
        <v>1397.9166666666599</v>
      </c>
      <c r="O311" s="13">
        <v>250</v>
      </c>
      <c r="P311" s="13">
        <v>200</v>
      </c>
      <c r="Q311" s="13">
        <v>2483.3333333333298</v>
      </c>
      <c r="R311" s="13">
        <v>3050</v>
      </c>
      <c r="S311" s="13">
        <v>3667.2965879652002</v>
      </c>
      <c r="T311" s="13">
        <v>9150</v>
      </c>
      <c r="U311" s="13">
        <v>11001.8897638956</v>
      </c>
      <c r="V311" s="15">
        <f t="shared" si="10"/>
        <v>61729.658796519972</v>
      </c>
    </row>
    <row r="312" spans="1:22" x14ac:dyDescent="0.2">
      <c r="A312" s="13">
        <v>143</v>
      </c>
      <c r="B312" s="13" t="s">
        <v>136</v>
      </c>
      <c r="C312" s="13">
        <v>2</v>
      </c>
      <c r="D312" s="13" t="s">
        <v>102</v>
      </c>
      <c r="E312" s="13">
        <v>22</v>
      </c>
      <c r="F312" s="13">
        <v>27</v>
      </c>
      <c r="G312" s="13">
        <v>5</v>
      </c>
      <c r="H312" s="13">
        <v>305000</v>
      </c>
      <c r="I312" s="13">
        <v>30500</v>
      </c>
      <c r="J312" s="13">
        <v>3779.6587965205999</v>
      </c>
      <c r="K312" s="13">
        <v>27450</v>
      </c>
      <c r="L312" s="13">
        <v>366729.65879651997</v>
      </c>
      <c r="M312" s="13">
        <v>635.41666666666595</v>
      </c>
      <c r="N312" s="13">
        <v>1397.9166666666599</v>
      </c>
      <c r="O312" s="13">
        <v>250</v>
      </c>
      <c r="P312" s="13">
        <v>200</v>
      </c>
      <c r="Q312" s="13">
        <v>2483.3333333333298</v>
      </c>
      <c r="R312" s="13">
        <v>3050</v>
      </c>
      <c r="S312" s="13">
        <v>3667.2965879652002</v>
      </c>
      <c r="T312" s="13">
        <v>9150</v>
      </c>
      <c r="U312" s="13">
        <v>11001.8897638956</v>
      </c>
      <c r="V312" s="15">
        <f t="shared" si="10"/>
        <v>61729.658796519972</v>
      </c>
    </row>
    <row r="313" spans="1:22" x14ac:dyDescent="0.2">
      <c r="V313" s="14">
        <f>SUM(V279:V312)</f>
        <v>2312123.7528027687</v>
      </c>
    </row>
    <row r="314" spans="1:22" x14ac:dyDescent="0.2">
      <c r="A314" s="13">
        <v>166</v>
      </c>
      <c r="B314" s="13" t="s">
        <v>101</v>
      </c>
      <c r="C314" s="13">
        <v>2</v>
      </c>
      <c r="D314" s="13" t="s">
        <v>104</v>
      </c>
      <c r="E314" s="13">
        <v>21</v>
      </c>
      <c r="F314" s="13">
        <v>28</v>
      </c>
      <c r="G314" s="13">
        <v>7</v>
      </c>
      <c r="H314" s="13">
        <v>676000</v>
      </c>
      <c r="I314" s="13">
        <v>34553.74</v>
      </c>
      <c r="J314" s="13">
        <v>19515.992356670598</v>
      </c>
      <c r="K314" s="13">
        <v>34553.74</v>
      </c>
      <c r="L314" s="13">
        <v>764623.47235666995</v>
      </c>
      <c r="M314" s="13">
        <v>1577.3333333333301</v>
      </c>
      <c r="N314" s="13">
        <v>7097.99999999999</v>
      </c>
      <c r="O314" s="13">
        <v>420</v>
      </c>
      <c r="P314" s="13">
        <v>350</v>
      </c>
      <c r="Q314" s="13">
        <v>9445.3333333333303</v>
      </c>
      <c r="R314" s="13">
        <v>6760</v>
      </c>
      <c r="S314" s="13">
        <v>9175.4816682800392</v>
      </c>
      <c r="T314" s="13">
        <v>20280</v>
      </c>
      <c r="U314" s="13">
        <v>22938.704170700101</v>
      </c>
      <c r="V314" s="15">
        <f t="shared" ref="V314:V350" si="11">L314-H314</f>
        <v>88623.472356669954</v>
      </c>
    </row>
    <row r="315" spans="1:22" x14ac:dyDescent="0.2">
      <c r="A315" s="13">
        <v>167</v>
      </c>
      <c r="B315" s="13" t="s">
        <v>101</v>
      </c>
      <c r="C315" s="13">
        <v>2</v>
      </c>
      <c r="D315" s="13" t="s">
        <v>104</v>
      </c>
      <c r="E315" s="13">
        <v>21</v>
      </c>
      <c r="F315" s="13">
        <v>28</v>
      </c>
      <c r="G315" s="13">
        <v>7</v>
      </c>
      <c r="H315" s="13">
        <v>676000</v>
      </c>
      <c r="I315" s="13">
        <v>34553.74</v>
      </c>
      <c r="J315" s="13">
        <v>19515.992356670598</v>
      </c>
      <c r="K315" s="13">
        <v>34553.74</v>
      </c>
      <c r="L315" s="13">
        <v>764623.47235666995</v>
      </c>
      <c r="M315" s="13">
        <v>1577.3333333333301</v>
      </c>
      <c r="N315" s="13">
        <v>7097.99999999999</v>
      </c>
      <c r="O315" s="13">
        <v>420</v>
      </c>
      <c r="P315" s="13">
        <v>350</v>
      </c>
      <c r="Q315" s="13">
        <v>9445.3333333333303</v>
      </c>
      <c r="R315" s="13">
        <v>6760</v>
      </c>
      <c r="S315" s="13">
        <v>9175.4816682800392</v>
      </c>
      <c r="T315" s="13">
        <v>20280</v>
      </c>
      <c r="U315" s="13">
        <v>22938.704170700101</v>
      </c>
      <c r="V315" s="15">
        <f t="shared" si="11"/>
        <v>88623.472356669954</v>
      </c>
    </row>
    <row r="316" spans="1:22" x14ac:dyDescent="0.2">
      <c r="A316" s="13">
        <v>175</v>
      </c>
      <c r="B316" s="13" t="s">
        <v>101</v>
      </c>
      <c r="C316" s="13">
        <v>2</v>
      </c>
      <c r="D316" s="13" t="s">
        <v>103</v>
      </c>
      <c r="E316" s="13">
        <v>22</v>
      </c>
      <c r="F316" s="13">
        <v>28</v>
      </c>
      <c r="G316" s="13">
        <v>6</v>
      </c>
      <c r="H316" s="13">
        <v>443000</v>
      </c>
      <c r="I316" s="13">
        <v>27172.733999999899</v>
      </c>
      <c r="J316" s="13">
        <v>9857.8198507783309</v>
      </c>
      <c r="K316" s="13">
        <v>27172.733999999899</v>
      </c>
      <c r="L316" s="13">
        <v>507203.28785077803</v>
      </c>
      <c r="M316" s="13">
        <v>886</v>
      </c>
      <c r="N316" s="13">
        <v>3986.99999999999</v>
      </c>
      <c r="O316" s="13">
        <v>360</v>
      </c>
      <c r="P316" s="13">
        <v>300</v>
      </c>
      <c r="Q316" s="13">
        <v>5533</v>
      </c>
      <c r="R316" s="13">
        <v>4430</v>
      </c>
      <c r="S316" s="13">
        <v>6086.4394542093396</v>
      </c>
      <c r="T316" s="13">
        <v>13290</v>
      </c>
      <c r="U316" s="13">
        <v>15216.0986355233</v>
      </c>
      <c r="V316" s="15">
        <f t="shared" si="11"/>
        <v>64203.287850778026</v>
      </c>
    </row>
    <row r="317" spans="1:22" x14ac:dyDescent="0.2">
      <c r="A317" s="13">
        <v>176</v>
      </c>
      <c r="B317" s="13" t="s">
        <v>101</v>
      </c>
      <c r="C317" s="13">
        <v>2</v>
      </c>
      <c r="D317" s="13" t="s">
        <v>103</v>
      </c>
      <c r="E317" s="13">
        <v>22</v>
      </c>
      <c r="F317" s="13">
        <v>28</v>
      </c>
      <c r="G317" s="13">
        <v>6</v>
      </c>
      <c r="H317" s="13">
        <v>443000</v>
      </c>
      <c r="I317" s="13">
        <v>27172.733999999899</v>
      </c>
      <c r="J317" s="13">
        <v>9857.8198507783309</v>
      </c>
      <c r="K317" s="13">
        <v>27172.733999999899</v>
      </c>
      <c r="L317" s="13">
        <v>507203.28785077803</v>
      </c>
      <c r="M317" s="13">
        <v>886</v>
      </c>
      <c r="N317" s="13">
        <v>3986.99999999999</v>
      </c>
      <c r="O317" s="13">
        <v>360</v>
      </c>
      <c r="P317" s="13">
        <v>300</v>
      </c>
      <c r="Q317" s="13">
        <v>5533</v>
      </c>
      <c r="R317" s="13">
        <v>4430</v>
      </c>
      <c r="S317" s="13">
        <v>6086.4394542093396</v>
      </c>
      <c r="T317" s="13">
        <v>13290</v>
      </c>
      <c r="U317" s="13">
        <v>15216.0986355233</v>
      </c>
      <c r="V317" s="15">
        <f t="shared" si="11"/>
        <v>64203.287850778026</v>
      </c>
    </row>
    <row r="318" spans="1:22" x14ac:dyDescent="0.2">
      <c r="A318" s="13">
        <v>177</v>
      </c>
      <c r="B318" s="13" t="s">
        <v>101</v>
      </c>
      <c r="C318" s="13">
        <v>2</v>
      </c>
      <c r="D318" s="13" t="s">
        <v>103</v>
      </c>
      <c r="E318" s="13">
        <v>22</v>
      </c>
      <c r="F318" s="13">
        <v>28</v>
      </c>
      <c r="G318" s="13">
        <v>6</v>
      </c>
      <c r="H318" s="13">
        <v>443000</v>
      </c>
      <c r="I318" s="13">
        <v>27172.733999999899</v>
      </c>
      <c r="J318" s="13">
        <v>9857.8198507783309</v>
      </c>
      <c r="K318" s="13">
        <v>27172.733999999899</v>
      </c>
      <c r="L318" s="13">
        <v>507203.28785077803</v>
      </c>
      <c r="M318" s="13">
        <v>886</v>
      </c>
      <c r="N318" s="13">
        <v>3986.99999999999</v>
      </c>
      <c r="O318" s="13">
        <v>360</v>
      </c>
      <c r="P318" s="13">
        <v>300</v>
      </c>
      <c r="Q318" s="13">
        <v>5533</v>
      </c>
      <c r="R318" s="13">
        <v>4430</v>
      </c>
      <c r="S318" s="13">
        <v>6086.4394542093396</v>
      </c>
      <c r="T318" s="13">
        <v>13290</v>
      </c>
      <c r="U318" s="13">
        <v>15216.0986355233</v>
      </c>
      <c r="V318" s="15">
        <f t="shared" si="11"/>
        <v>64203.287850778026</v>
      </c>
    </row>
    <row r="319" spans="1:22" x14ac:dyDescent="0.2">
      <c r="A319" s="13">
        <v>178</v>
      </c>
      <c r="B319" s="13" t="s">
        <v>101</v>
      </c>
      <c r="C319" s="13">
        <v>2</v>
      </c>
      <c r="D319" s="13" t="s">
        <v>103</v>
      </c>
      <c r="E319" s="13">
        <v>22</v>
      </c>
      <c r="F319" s="13">
        <v>28</v>
      </c>
      <c r="G319" s="13">
        <v>6</v>
      </c>
      <c r="H319" s="13">
        <v>443000</v>
      </c>
      <c r="I319" s="13">
        <v>27172.733999999899</v>
      </c>
      <c r="J319" s="13">
        <v>9857.8198507783309</v>
      </c>
      <c r="K319" s="13">
        <v>27172.733999999899</v>
      </c>
      <c r="L319" s="13">
        <v>507203.28785077803</v>
      </c>
      <c r="M319" s="13">
        <v>886</v>
      </c>
      <c r="N319" s="13">
        <v>3986.99999999999</v>
      </c>
      <c r="O319" s="13">
        <v>360</v>
      </c>
      <c r="P319" s="13">
        <v>300</v>
      </c>
      <c r="Q319" s="13">
        <v>5533</v>
      </c>
      <c r="R319" s="13">
        <v>4430</v>
      </c>
      <c r="S319" s="13">
        <v>6086.4394542093396</v>
      </c>
      <c r="T319" s="13">
        <v>13290</v>
      </c>
      <c r="U319" s="13">
        <v>15216.0986355233</v>
      </c>
      <c r="V319" s="15">
        <f t="shared" si="11"/>
        <v>64203.287850778026</v>
      </c>
    </row>
    <row r="320" spans="1:22" x14ac:dyDescent="0.2">
      <c r="A320" s="13">
        <v>180</v>
      </c>
      <c r="B320" s="13" t="s">
        <v>101</v>
      </c>
      <c r="C320" s="13">
        <v>2</v>
      </c>
      <c r="D320" s="13" t="s">
        <v>103</v>
      </c>
      <c r="E320" s="13">
        <v>22</v>
      </c>
      <c r="F320" s="13">
        <v>28</v>
      </c>
      <c r="G320" s="13">
        <v>6</v>
      </c>
      <c r="H320" s="13">
        <v>443000</v>
      </c>
      <c r="I320" s="13">
        <v>27172.733999999899</v>
      </c>
      <c r="J320" s="13">
        <v>9857.8198507783309</v>
      </c>
      <c r="K320" s="13">
        <v>27172.733999999899</v>
      </c>
      <c r="L320" s="13">
        <v>507203.28785077803</v>
      </c>
      <c r="M320" s="13">
        <v>886</v>
      </c>
      <c r="N320" s="13">
        <v>3986.99999999999</v>
      </c>
      <c r="O320" s="13">
        <v>360</v>
      </c>
      <c r="P320" s="13">
        <v>300</v>
      </c>
      <c r="Q320" s="13">
        <v>5533</v>
      </c>
      <c r="R320" s="13">
        <v>4430</v>
      </c>
      <c r="S320" s="13">
        <v>6086.4394542093396</v>
      </c>
      <c r="T320" s="13">
        <v>13290</v>
      </c>
      <c r="U320" s="13">
        <v>15216.0986355233</v>
      </c>
      <c r="V320" s="15">
        <f t="shared" si="11"/>
        <v>64203.287850778026</v>
      </c>
    </row>
    <row r="321" spans="1:22" x14ac:dyDescent="0.2">
      <c r="A321" s="13">
        <v>183</v>
      </c>
      <c r="B321" s="13" t="s">
        <v>101</v>
      </c>
      <c r="C321" s="13">
        <v>2</v>
      </c>
      <c r="D321" s="13" t="s">
        <v>104</v>
      </c>
      <c r="E321" s="13">
        <v>22</v>
      </c>
      <c r="F321" s="13">
        <v>28</v>
      </c>
      <c r="G321" s="13">
        <v>6</v>
      </c>
      <c r="H321" s="13">
        <v>676000</v>
      </c>
      <c r="I321" s="13">
        <v>34553.74</v>
      </c>
      <c r="J321" s="13">
        <v>16693.871778868899</v>
      </c>
      <c r="K321" s="13">
        <v>34553.74</v>
      </c>
      <c r="L321" s="13">
        <v>761801.351778868</v>
      </c>
      <c r="M321" s="13">
        <v>1352</v>
      </c>
      <c r="N321" s="13">
        <v>6083.99999999999</v>
      </c>
      <c r="O321" s="13">
        <v>360</v>
      </c>
      <c r="P321" s="13">
        <v>300</v>
      </c>
      <c r="Q321" s="13">
        <v>8095.99999999999</v>
      </c>
      <c r="R321" s="13">
        <v>6760</v>
      </c>
      <c r="S321" s="13">
        <v>9141.6162213464195</v>
      </c>
      <c r="T321" s="13">
        <v>20280</v>
      </c>
      <c r="U321" s="13">
        <v>22854.040553366001</v>
      </c>
      <c r="V321" s="15">
        <f t="shared" si="11"/>
        <v>85801.351778868004</v>
      </c>
    </row>
    <row r="322" spans="1:22" x14ac:dyDescent="0.2">
      <c r="A322" s="13">
        <v>184</v>
      </c>
      <c r="B322" s="13" t="s">
        <v>101</v>
      </c>
      <c r="C322" s="13">
        <v>2</v>
      </c>
      <c r="D322" s="13" t="s">
        <v>102</v>
      </c>
      <c r="E322" s="13">
        <v>23</v>
      </c>
      <c r="F322" s="13">
        <v>28</v>
      </c>
      <c r="G322" s="13">
        <v>5</v>
      </c>
      <c r="H322" s="13">
        <v>338000</v>
      </c>
      <c r="I322" s="13">
        <v>27642.991999999998</v>
      </c>
      <c r="J322" s="13">
        <v>5568.9637343662098</v>
      </c>
      <c r="K322" s="13">
        <v>27642.991999999998</v>
      </c>
      <c r="L322" s="13">
        <v>398854.947734366</v>
      </c>
      <c r="M322" s="13">
        <v>563.33333333333303</v>
      </c>
      <c r="N322" s="13">
        <v>2534.99999999999</v>
      </c>
      <c r="O322" s="13">
        <v>300</v>
      </c>
      <c r="P322" s="13">
        <v>250</v>
      </c>
      <c r="Q322" s="13">
        <v>3648.3333333333298</v>
      </c>
      <c r="R322" s="13">
        <v>3380</v>
      </c>
      <c r="S322" s="13">
        <v>4786.2593728123902</v>
      </c>
      <c r="T322" s="13">
        <v>10140</v>
      </c>
      <c r="U322" s="13">
        <v>11965.648432030899</v>
      </c>
      <c r="V322" s="15">
        <f t="shared" si="11"/>
        <v>60854.947734365996</v>
      </c>
    </row>
    <row r="323" spans="1:22" x14ac:dyDescent="0.2">
      <c r="A323" s="13">
        <v>187</v>
      </c>
      <c r="B323" s="13" t="s">
        <v>101</v>
      </c>
      <c r="C323" s="13">
        <v>2</v>
      </c>
      <c r="D323" s="13" t="s">
        <v>102</v>
      </c>
      <c r="E323" s="13">
        <v>23</v>
      </c>
      <c r="F323" s="13">
        <v>28</v>
      </c>
      <c r="G323" s="13">
        <v>5</v>
      </c>
      <c r="H323" s="13">
        <v>338000</v>
      </c>
      <c r="I323" s="13">
        <v>27642.991999999998</v>
      </c>
      <c r="J323" s="13">
        <v>5568.9637343662098</v>
      </c>
      <c r="K323" s="13">
        <v>27642.991999999998</v>
      </c>
      <c r="L323" s="13">
        <v>398854.947734366</v>
      </c>
      <c r="M323" s="13">
        <v>563.33333333333303</v>
      </c>
      <c r="N323" s="13">
        <v>2534.99999999999</v>
      </c>
      <c r="O323" s="13">
        <v>300</v>
      </c>
      <c r="P323" s="13">
        <v>250</v>
      </c>
      <c r="Q323" s="13">
        <v>3648.3333333333298</v>
      </c>
      <c r="R323" s="13">
        <v>3380</v>
      </c>
      <c r="S323" s="13">
        <v>4786.2593728123902</v>
      </c>
      <c r="T323" s="13">
        <v>10140</v>
      </c>
      <c r="U323" s="13">
        <v>11965.648432030899</v>
      </c>
      <c r="V323" s="15">
        <f t="shared" si="11"/>
        <v>60854.947734365996</v>
      </c>
    </row>
    <row r="324" spans="1:22" x14ac:dyDescent="0.2">
      <c r="A324" s="13">
        <v>188</v>
      </c>
      <c r="B324" s="13" t="s">
        <v>101</v>
      </c>
      <c r="C324" s="13">
        <v>2</v>
      </c>
      <c r="D324" s="13" t="s">
        <v>103</v>
      </c>
      <c r="E324" s="13">
        <v>23</v>
      </c>
      <c r="F324" s="13">
        <v>28</v>
      </c>
      <c r="G324" s="13">
        <v>5</v>
      </c>
      <c r="H324" s="13">
        <v>443000</v>
      </c>
      <c r="I324" s="13">
        <v>27172.733999999899</v>
      </c>
      <c r="J324" s="13">
        <v>8199.7467798370599</v>
      </c>
      <c r="K324" s="13">
        <v>27172.733999999899</v>
      </c>
      <c r="L324" s="13">
        <v>505545.214779837</v>
      </c>
      <c r="M324" s="13">
        <v>738.33333333333303</v>
      </c>
      <c r="N324" s="13">
        <v>3322.49999999999</v>
      </c>
      <c r="O324" s="13">
        <v>300</v>
      </c>
      <c r="P324" s="13">
        <v>250</v>
      </c>
      <c r="Q324" s="13">
        <v>4610.8333333333303</v>
      </c>
      <c r="R324" s="13">
        <v>4430</v>
      </c>
      <c r="S324" s="13">
        <v>6066.54257735804</v>
      </c>
      <c r="T324" s="13">
        <v>13290</v>
      </c>
      <c r="U324" s="13">
        <v>15166.3564433951</v>
      </c>
      <c r="V324" s="15">
        <f t="shared" si="11"/>
        <v>62545.214779836999</v>
      </c>
    </row>
    <row r="325" spans="1:22" x14ac:dyDescent="0.2">
      <c r="A325" s="13">
        <v>190</v>
      </c>
      <c r="B325" s="13" t="s">
        <v>101</v>
      </c>
      <c r="C325" s="13">
        <v>2</v>
      </c>
      <c r="D325" s="13" t="s">
        <v>103</v>
      </c>
      <c r="E325" s="13">
        <v>23</v>
      </c>
      <c r="F325" s="13">
        <v>28</v>
      </c>
      <c r="G325" s="13">
        <v>5</v>
      </c>
      <c r="H325" s="13">
        <v>443000</v>
      </c>
      <c r="I325" s="13">
        <v>27172.733999999899</v>
      </c>
      <c r="J325" s="13">
        <v>8199.7467798370599</v>
      </c>
      <c r="K325" s="13">
        <v>27172.733999999899</v>
      </c>
      <c r="L325" s="13">
        <v>505545.214779837</v>
      </c>
      <c r="M325" s="13">
        <v>738.33333333333303</v>
      </c>
      <c r="N325" s="13">
        <v>3322.49999999999</v>
      </c>
      <c r="O325" s="13">
        <v>300</v>
      </c>
      <c r="P325" s="13">
        <v>250</v>
      </c>
      <c r="Q325" s="13">
        <v>4610.8333333333303</v>
      </c>
      <c r="R325" s="13">
        <v>4430</v>
      </c>
      <c r="S325" s="13">
        <v>6066.54257735804</v>
      </c>
      <c r="T325" s="13">
        <v>13290</v>
      </c>
      <c r="U325" s="13">
        <v>15166.3564433951</v>
      </c>
      <c r="V325" s="15">
        <f t="shared" si="11"/>
        <v>62545.214779836999</v>
      </c>
    </row>
    <row r="326" spans="1:22" x14ac:dyDescent="0.2">
      <c r="A326" s="13">
        <v>191</v>
      </c>
      <c r="B326" s="13" t="s">
        <v>101</v>
      </c>
      <c r="C326" s="13">
        <v>2</v>
      </c>
      <c r="D326" s="13" t="s">
        <v>103</v>
      </c>
      <c r="E326" s="13">
        <v>23</v>
      </c>
      <c r="F326" s="13">
        <v>28</v>
      </c>
      <c r="G326" s="13">
        <v>5</v>
      </c>
      <c r="H326" s="13">
        <v>443000</v>
      </c>
      <c r="I326" s="13">
        <v>27172.733999999899</v>
      </c>
      <c r="J326" s="13">
        <v>8199.7467798370599</v>
      </c>
      <c r="K326" s="13">
        <v>27172.733999999899</v>
      </c>
      <c r="L326" s="13">
        <v>505545.214779837</v>
      </c>
      <c r="M326" s="13">
        <v>738.33333333333303</v>
      </c>
      <c r="N326" s="13">
        <v>3322.49999999999</v>
      </c>
      <c r="O326" s="13">
        <v>300</v>
      </c>
      <c r="P326" s="13">
        <v>250</v>
      </c>
      <c r="Q326" s="13">
        <v>4610.8333333333303</v>
      </c>
      <c r="R326" s="13">
        <v>4430</v>
      </c>
      <c r="S326" s="13">
        <v>6066.54257735804</v>
      </c>
      <c r="T326" s="13">
        <v>13290</v>
      </c>
      <c r="U326" s="13">
        <v>15166.3564433951</v>
      </c>
      <c r="V326" s="15">
        <f t="shared" si="11"/>
        <v>62545.214779836999</v>
      </c>
    </row>
    <row r="327" spans="1:22" x14ac:dyDescent="0.2">
      <c r="A327" s="13">
        <v>194</v>
      </c>
      <c r="B327" s="13" t="s">
        <v>101</v>
      </c>
      <c r="C327" s="13">
        <v>2</v>
      </c>
      <c r="D327" s="13" t="s">
        <v>102</v>
      </c>
      <c r="E327" s="13">
        <v>24</v>
      </c>
      <c r="F327" s="13">
        <v>28</v>
      </c>
      <c r="G327" s="13">
        <v>4</v>
      </c>
      <c r="H327" s="13">
        <v>338000</v>
      </c>
      <c r="I327" s="13">
        <v>27642.991999999998</v>
      </c>
      <c r="J327" s="13">
        <v>4447.8784912198998</v>
      </c>
      <c r="K327" s="13">
        <v>27642.991999999998</v>
      </c>
      <c r="L327" s="13">
        <v>397733.86249121901</v>
      </c>
      <c r="M327" s="13">
        <v>450.666666666666</v>
      </c>
      <c r="N327" s="13">
        <v>2027.99999999999</v>
      </c>
      <c r="O327" s="13">
        <v>240</v>
      </c>
      <c r="P327" s="13">
        <v>200</v>
      </c>
      <c r="Q327" s="13">
        <v>2918.6666666666601</v>
      </c>
      <c r="R327" s="13">
        <v>3380</v>
      </c>
      <c r="S327" s="13">
        <v>4772.8063498946303</v>
      </c>
      <c r="T327" s="13">
        <v>10140</v>
      </c>
      <c r="U327" s="13">
        <v>11932.0158747365</v>
      </c>
      <c r="V327" s="15">
        <f t="shared" si="11"/>
        <v>59733.862491219013</v>
      </c>
    </row>
    <row r="328" spans="1:22" x14ac:dyDescent="0.2">
      <c r="A328" s="13">
        <v>195</v>
      </c>
      <c r="B328" s="13" t="s">
        <v>101</v>
      </c>
      <c r="C328" s="13">
        <v>2</v>
      </c>
      <c r="D328" s="13" t="s">
        <v>102</v>
      </c>
      <c r="E328" s="13">
        <v>24</v>
      </c>
      <c r="F328" s="13">
        <v>28</v>
      </c>
      <c r="G328" s="13">
        <v>4</v>
      </c>
      <c r="H328" s="13">
        <v>338000</v>
      </c>
      <c r="I328" s="13">
        <v>27642.991999999998</v>
      </c>
      <c r="J328" s="13">
        <v>4447.8784912198998</v>
      </c>
      <c r="K328" s="13">
        <v>27642.991999999998</v>
      </c>
      <c r="L328" s="13">
        <v>397733.86249121901</v>
      </c>
      <c r="M328" s="13">
        <v>450.666666666666</v>
      </c>
      <c r="N328" s="13">
        <v>2027.99999999999</v>
      </c>
      <c r="O328" s="13">
        <v>240</v>
      </c>
      <c r="P328" s="13">
        <v>200</v>
      </c>
      <c r="Q328" s="13">
        <v>2918.6666666666601</v>
      </c>
      <c r="R328" s="13">
        <v>3380</v>
      </c>
      <c r="S328" s="13">
        <v>4772.8063498946303</v>
      </c>
      <c r="T328" s="13">
        <v>10140</v>
      </c>
      <c r="U328" s="13">
        <v>11932.0158747365</v>
      </c>
      <c r="V328" s="15">
        <f t="shared" si="11"/>
        <v>59733.862491219013</v>
      </c>
    </row>
    <row r="329" spans="1:22" x14ac:dyDescent="0.2">
      <c r="A329" s="13">
        <v>104</v>
      </c>
      <c r="B329" s="13" t="s">
        <v>136</v>
      </c>
      <c r="C329" s="13">
        <v>2</v>
      </c>
      <c r="D329" s="13" t="s">
        <v>104</v>
      </c>
      <c r="E329" s="13">
        <v>20</v>
      </c>
      <c r="F329" s="13">
        <v>28</v>
      </c>
      <c r="G329" s="13">
        <v>8</v>
      </c>
      <c r="H329" s="13">
        <v>630000</v>
      </c>
      <c r="I329" s="13">
        <v>37800</v>
      </c>
      <c r="J329" s="13">
        <v>16689.945856031802</v>
      </c>
      <c r="K329" s="13">
        <v>37800</v>
      </c>
      <c r="L329" s="13">
        <v>722289.94585603103</v>
      </c>
      <c r="M329" s="13">
        <v>2100</v>
      </c>
      <c r="N329" s="13">
        <v>4620</v>
      </c>
      <c r="O329" s="13">
        <v>400</v>
      </c>
      <c r="P329" s="13">
        <v>320</v>
      </c>
      <c r="Q329" s="13">
        <v>7440</v>
      </c>
      <c r="R329" s="13">
        <v>6300</v>
      </c>
      <c r="S329" s="13">
        <v>7222.8994585603104</v>
      </c>
      <c r="T329" s="13">
        <v>18900</v>
      </c>
      <c r="U329" s="13">
        <v>21668.698375680899</v>
      </c>
      <c r="V329" s="15">
        <f t="shared" si="11"/>
        <v>92289.94585603103</v>
      </c>
    </row>
    <row r="330" spans="1:22" x14ac:dyDescent="0.2">
      <c r="A330" s="13">
        <v>120</v>
      </c>
      <c r="B330" s="13" t="s">
        <v>136</v>
      </c>
      <c r="C330" s="13">
        <v>2</v>
      </c>
      <c r="D330" s="13" t="s">
        <v>103</v>
      </c>
      <c r="E330" s="13">
        <v>21</v>
      </c>
      <c r="F330" s="13">
        <v>28</v>
      </c>
      <c r="G330" s="13">
        <v>7</v>
      </c>
      <c r="H330" s="13">
        <v>405000</v>
      </c>
      <c r="I330" s="13">
        <v>32400</v>
      </c>
      <c r="J330" s="13">
        <v>8209.4329593602797</v>
      </c>
      <c r="K330" s="13">
        <v>28350</v>
      </c>
      <c r="L330" s="13">
        <v>473959.43295936001</v>
      </c>
      <c r="M330" s="13">
        <v>1181.25</v>
      </c>
      <c r="N330" s="13">
        <v>2598.75</v>
      </c>
      <c r="O330" s="13">
        <v>350</v>
      </c>
      <c r="P330" s="13">
        <v>280</v>
      </c>
      <c r="Q330" s="13">
        <v>4410</v>
      </c>
      <c r="R330" s="13">
        <v>4050</v>
      </c>
      <c r="S330" s="13">
        <v>4739.5943295936004</v>
      </c>
      <c r="T330" s="13">
        <v>12150</v>
      </c>
      <c r="U330" s="13">
        <v>14218.7829887808</v>
      </c>
      <c r="V330" s="15">
        <f t="shared" si="11"/>
        <v>68959.432959360012</v>
      </c>
    </row>
    <row r="331" spans="1:22" x14ac:dyDescent="0.2">
      <c r="A331" s="13">
        <v>123</v>
      </c>
      <c r="B331" s="13" t="s">
        <v>136</v>
      </c>
      <c r="C331" s="13">
        <v>2</v>
      </c>
      <c r="D331" s="13" t="s">
        <v>103</v>
      </c>
      <c r="E331" s="13">
        <v>21</v>
      </c>
      <c r="F331" s="13">
        <v>28</v>
      </c>
      <c r="G331" s="13">
        <v>7</v>
      </c>
      <c r="H331" s="13">
        <v>405000</v>
      </c>
      <c r="I331" s="13">
        <v>32400</v>
      </c>
      <c r="J331" s="13">
        <v>8209.4329593602797</v>
      </c>
      <c r="K331" s="13">
        <v>28350</v>
      </c>
      <c r="L331" s="13">
        <v>473959.43295936001</v>
      </c>
      <c r="M331" s="13">
        <v>1181.25</v>
      </c>
      <c r="N331" s="13">
        <v>2598.75</v>
      </c>
      <c r="O331" s="13">
        <v>350</v>
      </c>
      <c r="P331" s="13">
        <v>280</v>
      </c>
      <c r="Q331" s="13">
        <v>4410</v>
      </c>
      <c r="R331" s="13">
        <v>4050</v>
      </c>
      <c r="S331" s="13">
        <v>4739.5943295936004</v>
      </c>
      <c r="T331" s="13">
        <v>12150</v>
      </c>
      <c r="U331" s="13">
        <v>14218.7829887808</v>
      </c>
      <c r="V331" s="15">
        <f t="shared" si="11"/>
        <v>68959.432959360012</v>
      </c>
    </row>
    <row r="332" spans="1:22" x14ac:dyDescent="0.2">
      <c r="A332" s="13">
        <v>124</v>
      </c>
      <c r="B332" s="13" t="s">
        <v>136</v>
      </c>
      <c r="C332" s="13">
        <v>2</v>
      </c>
      <c r="D332" s="13" t="s">
        <v>103</v>
      </c>
      <c r="E332" s="13">
        <v>21</v>
      </c>
      <c r="F332" s="13">
        <v>28</v>
      </c>
      <c r="G332" s="13">
        <v>7</v>
      </c>
      <c r="H332" s="13">
        <v>405000</v>
      </c>
      <c r="I332" s="13">
        <v>32400</v>
      </c>
      <c r="J332" s="13">
        <v>8209.4329593602797</v>
      </c>
      <c r="K332" s="13">
        <v>28350</v>
      </c>
      <c r="L332" s="13">
        <v>473959.43295936001</v>
      </c>
      <c r="M332" s="13">
        <v>1181.25</v>
      </c>
      <c r="N332" s="13">
        <v>2598.75</v>
      </c>
      <c r="O332" s="13">
        <v>350</v>
      </c>
      <c r="P332" s="13">
        <v>280</v>
      </c>
      <c r="Q332" s="13">
        <v>4410</v>
      </c>
      <c r="R332" s="13">
        <v>4050</v>
      </c>
      <c r="S332" s="13">
        <v>4739.5943295936004</v>
      </c>
      <c r="T332" s="13">
        <v>12150</v>
      </c>
      <c r="U332" s="13">
        <v>14218.7829887808</v>
      </c>
      <c r="V332" s="15">
        <f t="shared" si="11"/>
        <v>68959.432959360012</v>
      </c>
    </row>
    <row r="333" spans="1:22" x14ac:dyDescent="0.2">
      <c r="A333" s="13">
        <v>125</v>
      </c>
      <c r="B333" s="13" t="s">
        <v>136</v>
      </c>
      <c r="C333" s="13">
        <v>2</v>
      </c>
      <c r="D333" s="13" t="s">
        <v>103</v>
      </c>
      <c r="E333" s="13">
        <v>21</v>
      </c>
      <c r="F333" s="13">
        <v>28</v>
      </c>
      <c r="G333" s="13">
        <v>7</v>
      </c>
      <c r="H333" s="13">
        <v>405000</v>
      </c>
      <c r="I333" s="13">
        <v>32400</v>
      </c>
      <c r="J333" s="13">
        <v>8209.4329593602797</v>
      </c>
      <c r="K333" s="13">
        <v>28350</v>
      </c>
      <c r="L333" s="13">
        <v>473959.43295936001</v>
      </c>
      <c r="M333" s="13">
        <v>1181.25</v>
      </c>
      <c r="N333" s="13">
        <v>2598.75</v>
      </c>
      <c r="O333" s="13">
        <v>350</v>
      </c>
      <c r="P333" s="13">
        <v>280</v>
      </c>
      <c r="Q333" s="13">
        <v>4410</v>
      </c>
      <c r="R333" s="13">
        <v>4050</v>
      </c>
      <c r="S333" s="13">
        <v>4739.5943295936004</v>
      </c>
      <c r="T333" s="13">
        <v>12150</v>
      </c>
      <c r="U333" s="13">
        <v>14218.7829887808</v>
      </c>
      <c r="V333" s="15">
        <f t="shared" si="11"/>
        <v>68959.432959360012</v>
      </c>
    </row>
    <row r="334" spans="1:22" x14ac:dyDescent="0.2">
      <c r="A334" s="13">
        <v>127</v>
      </c>
      <c r="B334" s="13" t="s">
        <v>136</v>
      </c>
      <c r="C334" s="13">
        <v>2</v>
      </c>
      <c r="D334" s="13" t="s">
        <v>103</v>
      </c>
      <c r="E334" s="13">
        <v>21</v>
      </c>
      <c r="F334" s="13">
        <v>28</v>
      </c>
      <c r="G334" s="13">
        <v>7</v>
      </c>
      <c r="H334" s="13">
        <v>405000</v>
      </c>
      <c r="I334" s="13">
        <v>32400</v>
      </c>
      <c r="J334" s="13">
        <v>8209.4329593602797</v>
      </c>
      <c r="K334" s="13">
        <v>28350</v>
      </c>
      <c r="L334" s="13">
        <v>473959.43295936001</v>
      </c>
      <c r="M334" s="13">
        <v>1181.25</v>
      </c>
      <c r="N334" s="13">
        <v>2598.75</v>
      </c>
      <c r="O334" s="13">
        <v>350</v>
      </c>
      <c r="P334" s="13">
        <v>280</v>
      </c>
      <c r="Q334" s="13">
        <v>4410</v>
      </c>
      <c r="R334" s="13">
        <v>4050</v>
      </c>
      <c r="S334" s="13">
        <v>4739.5943295936004</v>
      </c>
      <c r="T334" s="13">
        <v>12150</v>
      </c>
      <c r="U334" s="13">
        <v>14218.7829887808</v>
      </c>
      <c r="V334" s="15">
        <f t="shared" si="11"/>
        <v>68959.432959360012</v>
      </c>
    </row>
    <row r="335" spans="1:22" x14ac:dyDescent="0.2">
      <c r="A335" s="13">
        <v>130</v>
      </c>
      <c r="B335" s="13" t="s">
        <v>136</v>
      </c>
      <c r="C335" s="13">
        <v>2</v>
      </c>
      <c r="D335" s="13" t="s">
        <v>103</v>
      </c>
      <c r="E335" s="13">
        <v>21</v>
      </c>
      <c r="F335" s="13">
        <v>28</v>
      </c>
      <c r="G335" s="13">
        <v>7</v>
      </c>
      <c r="H335" s="13">
        <v>405000</v>
      </c>
      <c r="I335" s="13">
        <v>32400</v>
      </c>
      <c r="J335" s="13">
        <v>8209.4329593602797</v>
      </c>
      <c r="K335" s="13">
        <v>28350</v>
      </c>
      <c r="L335" s="13">
        <v>473959.43295936001</v>
      </c>
      <c r="M335" s="13">
        <v>1181.25</v>
      </c>
      <c r="N335" s="13">
        <v>2598.75</v>
      </c>
      <c r="O335" s="13">
        <v>350</v>
      </c>
      <c r="P335" s="13">
        <v>280</v>
      </c>
      <c r="Q335" s="13">
        <v>4410</v>
      </c>
      <c r="R335" s="13">
        <v>4050</v>
      </c>
      <c r="S335" s="13">
        <v>4739.5943295936004</v>
      </c>
      <c r="T335" s="13">
        <v>12150</v>
      </c>
      <c r="U335" s="13">
        <v>14218.7829887808</v>
      </c>
      <c r="V335" s="15">
        <f t="shared" si="11"/>
        <v>68959.432959360012</v>
      </c>
    </row>
    <row r="336" spans="1:22" x14ac:dyDescent="0.2">
      <c r="A336" s="13">
        <v>131</v>
      </c>
      <c r="B336" s="13" t="s">
        <v>136</v>
      </c>
      <c r="C336" s="13">
        <v>2</v>
      </c>
      <c r="D336" s="13" t="s">
        <v>103</v>
      </c>
      <c r="E336" s="13">
        <v>21</v>
      </c>
      <c r="F336" s="13">
        <v>28</v>
      </c>
      <c r="G336" s="13">
        <v>7</v>
      </c>
      <c r="H336" s="13">
        <v>405000</v>
      </c>
      <c r="I336" s="13">
        <v>32400</v>
      </c>
      <c r="J336" s="13">
        <v>8209.4329593602797</v>
      </c>
      <c r="K336" s="13">
        <v>28350</v>
      </c>
      <c r="L336" s="13">
        <v>473959.43295936001</v>
      </c>
      <c r="M336" s="13">
        <v>1181.25</v>
      </c>
      <c r="N336" s="13">
        <v>2598.75</v>
      </c>
      <c r="O336" s="13">
        <v>350</v>
      </c>
      <c r="P336" s="13">
        <v>280</v>
      </c>
      <c r="Q336" s="13">
        <v>4410</v>
      </c>
      <c r="R336" s="13">
        <v>4050</v>
      </c>
      <c r="S336" s="13">
        <v>4739.5943295936004</v>
      </c>
      <c r="T336" s="13">
        <v>12150</v>
      </c>
      <c r="U336" s="13">
        <v>14218.7829887808</v>
      </c>
      <c r="V336" s="15">
        <f t="shared" si="11"/>
        <v>68959.432959360012</v>
      </c>
    </row>
    <row r="337" spans="1:22" x14ac:dyDescent="0.2">
      <c r="A337" s="13">
        <v>136</v>
      </c>
      <c r="B337" s="13" t="s">
        <v>136</v>
      </c>
      <c r="C337" s="13">
        <v>2</v>
      </c>
      <c r="D337" s="13" t="s">
        <v>102</v>
      </c>
      <c r="E337" s="13">
        <v>22</v>
      </c>
      <c r="F337" s="13">
        <v>28</v>
      </c>
      <c r="G337" s="13">
        <v>6</v>
      </c>
      <c r="H337" s="13">
        <v>305000</v>
      </c>
      <c r="I337" s="13">
        <v>30500</v>
      </c>
      <c r="J337" s="13">
        <v>4541.1927353126903</v>
      </c>
      <c r="K337" s="13">
        <v>27450</v>
      </c>
      <c r="L337" s="13">
        <v>367491.19273531198</v>
      </c>
      <c r="M337" s="13">
        <v>762.5</v>
      </c>
      <c r="N337" s="13">
        <v>1677.5</v>
      </c>
      <c r="O337" s="13">
        <v>300</v>
      </c>
      <c r="P337" s="13">
        <v>240</v>
      </c>
      <c r="Q337" s="13">
        <v>2980</v>
      </c>
      <c r="R337" s="13">
        <v>3050</v>
      </c>
      <c r="S337" s="13">
        <v>3674.9119273531201</v>
      </c>
      <c r="T337" s="13">
        <v>9150</v>
      </c>
      <c r="U337" s="13">
        <v>11024.735782059301</v>
      </c>
      <c r="V337" s="15">
        <f t="shared" si="11"/>
        <v>62491.192735311983</v>
      </c>
    </row>
    <row r="338" spans="1:22" x14ac:dyDescent="0.2">
      <c r="A338" s="13">
        <v>137</v>
      </c>
      <c r="B338" s="13" t="s">
        <v>136</v>
      </c>
      <c r="C338" s="13">
        <v>2</v>
      </c>
      <c r="D338" s="13" t="s">
        <v>102</v>
      </c>
      <c r="E338" s="13">
        <v>22</v>
      </c>
      <c r="F338" s="13">
        <v>28</v>
      </c>
      <c r="G338" s="13">
        <v>6</v>
      </c>
      <c r="H338" s="13">
        <v>305000</v>
      </c>
      <c r="I338" s="13">
        <v>30500</v>
      </c>
      <c r="J338" s="13">
        <v>4541.1927353126903</v>
      </c>
      <c r="K338" s="13">
        <v>27450</v>
      </c>
      <c r="L338" s="13">
        <v>367491.19273531198</v>
      </c>
      <c r="M338" s="13">
        <v>762.5</v>
      </c>
      <c r="N338" s="13">
        <v>1677.5</v>
      </c>
      <c r="O338" s="13">
        <v>300</v>
      </c>
      <c r="P338" s="13">
        <v>240</v>
      </c>
      <c r="Q338" s="13">
        <v>2980</v>
      </c>
      <c r="R338" s="13">
        <v>3050</v>
      </c>
      <c r="S338" s="13">
        <v>3674.9119273531201</v>
      </c>
      <c r="T338" s="13">
        <v>9150</v>
      </c>
      <c r="U338" s="13">
        <v>11024.735782059301</v>
      </c>
      <c r="V338" s="15">
        <f t="shared" si="11"/>
        <v>62491.192735311983</v>
      </c>
    </row>
    <row r="339" spans="1:22" x14ac:dyDescent="0.2">
      <c r="A339" s="13">
        <v>138</v>
      </c>
      <c r="B339" s="13" t="s">
        <v>136</v>
      </c>
      <c r="C339" s="13">
        <v>2</v>
      </c>
      <c r="D339" s="13" t="s">
        <v>102</v>
      </c>
      <c r="E339" s="13">
        <v>22</v>
      </c>
      <c r="F339" s="13">
        <v>28</v>
      </c>
      <c r="G339" s="13">
        <v>6</v>
      </c>
      <c r="H339" s="13">
        <v>305000</v>
      </c>
      <c r="I339" s="13">
        <v>30500</v>
      </c>
      <c r="J339" s="13">
        <v>4541.1927353126903</v>
      </c>
      <c r="K339" s="13">
        <v>27450</v>
      </c>
      <c r="L339" s="13">
        <v>367491.19273531198</v>
      </c>
      <c r="M339" s="13">
        <v>762.5</v>
      </c>
      <c r="N339" s="13">
        <v>1677.5</v>
      </c>
      <c r="O339" s="13">
        <v>300</v>
      </c>
      <c r="P339" s="13">
        <v>240</v>
      </c>
      <c r="Q339" s="13">
        <v>2980</v>
      </c>
      <c r="R339" s="13">
        <v>3050</v>
      </c>
      <c r="S339" s="13">
        <v>3674.9119273531201</v>
      </c>
      <c r="T339" s="13">
        <v>9150</v>
      </c>
      <c r="U339" s="13">
        <v>11024.735782059301</v>
      </c>
      <c r="V339" s="15">
        <f t="shared" si="11"/>
        <v>62491.192735311983</v>
      </c>
    </row>
    <row r="340" spans="1:22" x14ac:dyDescent="0.2">
      <c r="A340" s="13">
        <v>139</v>
      </c>
      <c r="B340" s="13" t="s">
        <v>136</v>
      </c>
      <c r="C340" s="13">
        <v>2</v>
      </c>
      <c r="D340" s="13" t="s">
        <v>102</v>
      </c>
      <c r="E340" s="13">
        <v>22</v>
      </c>
      <c r="F340" s="13">
        <v>28</v>
      </c>
      <c r="G340" s="13">
        <v>6</v>
      </c>
      <c r="H340" s="13">
        <v>305000</v>
      </c>
      <c r="I340" s="13">
        <v>30500</v>
      </c>
      <c r="J340" s="13">
        <v>4541.1927353126903</v>
      </c>
      <c r="K340" s="13">
        <v>27450</v>
      </c>
      <c r="L340" s="13">
        <v>367491.19273531198</v>
      </c>
      <c r="M340" s="13">
        <v>762.5</v>
      </c>
      <c r="N340" s="13">
        <v>1677.5</v>
      </c>
      <c r="O340" s="13">
        <v>300</v>
      </c>
      <c r="P340" s="13">
        <v>240</v>
      </c>
      <c r="Q340" s="13">
        <v>2980</v>
      </c>
      <c r="R340" s="13">
        <v>3050</v>
      </c>
      <c r="S340" s="13">
        <v>3674.9119273531201</v>
      </c>
      <c r="T340" s="13">
        <v>9150</v>
      </c>
      <c r="U340" s="13">
        <v>11024.735782059301</v>
      </c>
      <c r="V340" s="15">
        <f t="shared" si="11"/>
        <v>62491.192735311983</v>
      </c>
    </row>
    <row r="341" spans="1:22" x14ac:dyDescent="0.2">
      <c r="A341" s="13">
        <v>140</v>
      </c>
      <c r="B341" s="13" t="s">
        <v>136</v>
      </c>
      <c r="C341" s="13">
        <v>2</v>
      </c>
      <c r="D341" s="13" t="s">
        <v>102</v>
      </c>
      <c r="E341" s="13">
        <v>22</v>
      </c>
      <c r="F341" s="13">
        <v>28</v>
      </c>
      <c r="G341" s="13">
        <v>6</v>
      </c>
      <c r="H341" s="13">
        <v>305000</v>
      </c>
      <c r="I341" s="13">
        <v>30500</v>
      </c>
      <c r="J341" s="13">
        <v>4541.1927353126903</v>
      </c>
      <c r="K341" s="13">
        <v>27450</v>
      </c>
      <c r="L341" s="13">
        <v>367491.19273531198</v>
      </c>
      <c r="M341" s="13">
        <v>762.5</v>
      </c>
      <c r="N341" s="13">
        <v>1677.5</v>
      </c>
      <c r="O341" s="13">
        <v>300</v>
      </c>
      <c r="P341" s="13">
        <v>240</v>
      </c>
      <c r="Q341" s="13">
        <v>2980</v>
      </c>
      <c r="R341" s="13">
        <v>3050</v>
      </c>
      <c r="S341" s="13">
        <v>3674.9119273531201</v>
      </c>
      <c r="T341" s="13">
        <v>9150</v>
      </c>
      <c r="U341" s="13">
        <v>11024.735782059301</v>
      </c>
      <c r="V341" s="15">
        <f t="shared" si="11"/>
        <v>62491.192735311983</v>
      </c>
    </row>
    <row r="342" spans="1:22" x14ac:dyDescent="0.2">
      <c r="A342" s="13">
        <v>142</v>
      </c>
      <c r="B342" s="13" t="s">
        <v>136</v>
      </c>
      <c r="C342" s="13">
        <v>2</v>
      </c>
      <c r="D342" s="13" t="s">
        <v>102</v>
      </c>
      <c r="E342" s="13">
        <v>22</v>
      </c>
      <c r="F342" s="13">
        <v>28</v>
      </c>
      <c r="G342" s="13">
        <v>6</v>
      </c>
      <c r="H342" s="13">
        <v>305000</v>
      </c>
      <c r="I342" s="13">
        <v>30500</v>
      </c>
      <c r="J342" s="13">
        <v>4541.1927353126903</v>
      </c>
      <c r="K342" s="13">
        <v>27450</v>
      </c>
      <c r="L342" s="13">
        <v>367491.19273531198</v>
      </c>
      <c r="M342" s="13">
        <v>762.5</v>
      </c>
      <c r="N342" s="13">
        <v>1677.5</v>
      </c>
      <c r="O342" s="13">
        <v>300</v>
      </c>
      <c r="P342" s="13">
        <v>240</v>
      </c>
      <c r="Q342" s="13">
        <v>2980</v>
      </c>
      <c r="R342" s="13">
        <v>3050</v>
      </c>
      <c r="S342" s="13">
        <v>3674.9119273531201</v>
      </c>
      <c r="T342" s="13">
        <v>9150</v>
      </c>
      <c r="U342" s="13">
        <v>11024.735782059301</v>
      </c>
      <c r="V342" s="15">
        <f t="shared" si="11"/>
        <v>62491.192735311983</v>
      </c>
    </row>
    <row r="343" spans="1:22" x14ac:dyDescent="0.2">
      <c r="A343" s="13">
        <v>144</v>
      </c>
      <c r="B343" s="13" t="s">
        <v>136</v>
      </c>
      <c r="C343" s="13">
        <v>2</v>
      </c>
      <c r="D343" s="13" t="s">
        <v>103</v>
      </c>
      <c r="E343" s="13">
        <v>22</v>
      </c>
      <c r="F343" s="13">
        <v>28</v>
      </c>
      <c r="G343" s="13">
        <v>6</v>
      </c>
      <c r="H343" s="13">
        <v>405000</v>
      </c>
      <c r="I343" s="13">
        <v>32400</v>
      </c>
      <c r="J343" s="13">
        <v>7026.5464748600298</v>
      </c>
      <c r="K343" s="13">
        <v>28350</v>
      </c>
      <c r="L343" s="13">
        <v>472776.54647485999</v>
      </c>
      <c r="M343" s="13">
        <v>1012.5</v>
      </c>
      <c r="N343" s="13">
        <v>2227.5</v>
      </c>
      <c r="O343" s="13">
        <v>300</v>
      </c>
      <c r="P343" s="13">
        <v>240</v>
      </c>
      <c r="Q343" s="13">
        <v>3780</v>
      </c>
      <c r="R343" s="13">
        <v>4050</v>
      </c>
      <c r="S343" s="13">
        <v>4727.7654647485997</v>
      </c>
      <c r="T343" s="13">
        <v>12150</v>
      </c>
      <c r="U343" s="13">
        <v>14183.296394245799</v>
      </c>
      <c r="V343" s="15">
        <f t="shared" si="11"/>
        <v>67776.546474859992</v>
      </c>
    </row>
    <row r="344" spans="1:22" x14ac:dyDescent="0.2">
      <c r="A344" s="13">
        <v>146</v>
      </c>
      <c r="B344" s="13" t="s">
        <v>136</v>
      </c>
      <c r="C344" s="13">
        <v>2</v>
      </c>
      <c r="D344" s="13" t="s">
        <v>103</v>
      </c>
      <c r="E344" s="13">
        <v>22</v>
      </c>
      <c r="F344" s="13">
        <v>28</v>
      </c>
      <c r="G344" s="13">
        <v>6</v>
      </c>
      <c r="H344" s="13">
        <v>405000</v>
      </c>
      <c r="I344" s="13">
        <v>32400</v>
      </c>
      <c r="J344" s="13">
        <v>7026.5464748600298</v>
      </c>
      <c r="K344" s="13">
        <v>28350</v>
      </c>
      <c r="L344" s="13">
        <v>472776.54647485999</v>
      </c>
      <c r="M344" s="13">
        <v>1012.5</v>
      </c>
      <c r="N344" s="13">
        <v>2227.5</v>
      </c>
      <c r="O344" s="13">
        <v>300</v>
      </c>
      <c r="P344" s="13">
        <v>240</v>
      </c>
      <c r="Q344" s="13">
        <v>3780</v>
      </c>
      <c r="R344" s="13">
        <v>4050</v>
      </c>
      <c r="S344" s="13">
        <v>4727.7654647485997</v>
      </c>
      <c r="T344" s="13">
        <v>12150</v>
      </c>
      <c r="U344" s="13">
        <v>14183.296394245799</v>
      </c>
      <c r="V344" s="15">
        <f t="shared" si="11"/>
        <v>67776.546474859992</v>
      </c>
    </row>
    <row r="345" spans="1:22" x14ac:dyDescent="0.2">
      <c r="A345" s="13">
        <v>149</v>
      </c>
      <c r="B345" s="13" t="s">
        <v>136</v>
      </c>
      <c r="C345" s="13">
        <v>2</v>
      </c>
      <c r="D345" s="13" t="s">
        <v>103</v>
      </c>
      <c r="E345" s="13">
        <v>22</v>
      </c>
      <c r="F345" s="13">
        <v>28</v>
      </c>
      <c r="G345" s="13">
        <v>6</v>
      </c>
      <c r="H345" s="13">
        <v>405000</v>
      </c>
      <c r="I345" s="13">
        <v>32400</v>
      </c>
      <c r="J345" s="13">
        <v>7026.5464748600298</v>
      </c>
      <c r="K345" s="13">
        <v>28350</v>
      </c>
      <c r="L345" s="13">
        <v>472776.54647485999</v>
      </c>
      <c r="M345" s="13">
        <v>1012.5</v>
      </c>
      <c r="N345" s="13">
        <v>2227.5</v>
      </c>
      <c r="O345" s="13">
        <v>300</v>
      </c>
      <c r="P345" s="13">
        <v>240</v>
      </c>
      <c r="Q345" s="13">
        <v>3780</v>
      </c>
      <c r="R345" s="13">
        <v>4050</v>
      </c>
      <c r="S345" s="13">
        <v>4727.7654647485997</v>
      </c>
      <c r="T345" s="13">
        <v>12150</v>
      </c>
      <c r="U345" s="13">
        <v>14183.296394245799</v>
      </c>
      <c r="V345" s="15">
        <f t="shared" si="11"/>
        <v>67776.546474859992</v>
      </c>
    </row>
    <row r="346" spans="1:22" x14ac:dyDescent="0.2">
      <c r="A346" s="13">
        <v>151</v>
      </c>
      <c r="B346" s="13" t="s">
        <v>136</v>
      </c>
      <c r="C346" s="13">
        <v>2</v>
      </c>
      <c r="D346" s="13" t="s">
        <v>103</v>
      </c>
      <c r="E346" s="13">
        <v>22</v>
      </c>
      <c r="F346" s="13">
        <v>28</v>
      </c>
      <c r="G346" s="13">
        <v>6</v>
      </c>
      <c r="H346" s="13">
        <v>405000</v>
      </c>
      <c r="I346" s="13">
        <v>32400</v>
      </c>
      <c r="J346" s="13">
        <v>7026.5464748600298</v>
      </c>
      <c r="K346" s="13">
        <v>28350</v>
      </c>
      <c r="L346" s="13">
        <v>472776.54647485999</v>
      </c>
      <c r="M346" s="13">
        <v>1012.5</v>
      </c>
      <c r="N346" s="13">
        <v>2227.5</v>
      </c>
      <c r="O346" s="13">
        <v>300</v>
      </c>
      <c r="P346" s="13">
        <v>240</v>
      </c>
      <c r="Q346" s="13">
        <v>3780</v>
      </c>
      <c r="R346" s="13">
        <v>4050</v>
      </c>
      <c r="S346" s="13">
        <v>4727.7654647485997</v>
      </c>
      <c r="T346" s="13">
        <v>12150</v>
      </c>
      <c r="U346" s="13">
        <v>14183.296394245799</v>
      </c>
      <c r="V346" s="15">
        <f t="shared" si="11"/>
        <v>67776.546474859992</v>
      </c>
    </row>
    <row r="347" spans="1:22" x14ac:dyDescent="0.2">
      <c r="A347" s="13">
        <v>154</v>
      </c>
      <c r="B347" s="13" t="s">
        <v>136</v>
      </c>
      <c r="C347" s="13">
        <v>2</v>
      </c>
      <c r="D347" s="13" t="s">
        <v>102</v>
      </c>
      <c r="E347" s="13">
        <v>23</v>
      </c>
      <c r="F347" s="13">
        <v>28</v>
      </c>
      <c r="G347" s="13">
        <v>5</v>
      </c>
      <c r="H347" s="13">
        <v>305000</v>
      </c>
      <c r="I347" s="13">
        <v>30500</v>
      </c>
      <c r="J347" s="13">
        <v>3779.6587965205999</v>
      </c>
      <c r="K347" s="13">
        <v>27450</v>
      </c>
      <c r="L347" s="13">
        <v>366729.65879651997</v>
      </c>
      <c r="M347" s="13">
        <v>635.41666666666595</v>
      </c>
      <c r="N347" s="13">
        <v>1397.9166666666599</v>
      </c>
      <c r="O347" s="13">
        <v>250</v>
      </c>
      <c r="P347" s="13">
        <v>200</v>
      </c>
      <c r="Q347" s="13">
        <v>2483.3333333333298</v>
      </c>
      <c r="R347" s="13">
        <v>3050</v>
      </c>
      <c r="S347" s="13">
        <v>3667.2965879652002</v>
      </c>
      <c r="T347" s="13">
        <v>9150</v>
      </c>
      <c r="U347" s="13">
        <v>11001.8897638956</v>
      </c>
      <c r="V347" s="15">
        <f t="shared" si="11"/>
        <v>61729.658796519972</v>
      </c>
    </row>
    <row r="348" spans="1:22" x14ac:dyDescent="0.2">
      <c r="A348" s="13">
        <v>155</v>
      </c>
      <c r="B348" s="13" t="s">
        <v>136</v>
      </c>
      <c r="C348" s="13">
        <v>2</v>
      </c>
      <c r="D348" s="13" t="s">
        <v>102</v>
      </c>
      <c r="E348" s="13">
        <v>23</v>
      </c>
      <c r="F348" s="13">
        <v>28</v>
      </c>
      <c r="G348" s="13">
        <v>5</v>
      </c>
      <c r="H348" s="13">
        <v>305000</v>
      </c>
      <c r="I348" s="13">
        <v>30500</v>
      </c>
      <c r="J348" s="13">
        <v>3779.6587965205999</v>
      </c>
      <c r="K348" s="13">
        <v>27450</v>
      </c>
      <c r="L348" s="13">
        <v>366729.65879651997</v>
      </c>
      <c r="M348" s="13">
        <v>635.41666666666595</v>
      </c>
      <c r="N348" s="13">
        <v>1397.9166666666599</v>
      </c>
      <c r="O348" s="13">
        <v>250</v>
      </c>
      <c r="P348" s="13">
        <v>200</v>
      </c>
      <c r="Q348" s="13">
        <v>2483.3333333333298</v>
      </c>
      <c r="R348" s="13">
        <v>3050</v>
      </c>
      <c r="S348" s="13">
        <v>3667.2965879652002</v>
      </c>
      <c r="T348" s="13">
        <v>9150</v>
      </c>
      <c r="U348" s="13">
        <v>11001.8897638956</v>
      </c>
      <c r="V348" s="15">
        <f t="shared" si="11"/>
        <v>61729.658796519972</v>
      </c>
    </row>
    <row r="349" spans="1:22" x14ac:dyDescent="0.2">
      <c r="A349" s="13">
        <v>157</v>
      </c>
      <c r="B349" s="13" t="s">
        <v>136</v>
      </c>
      <c r="C349" s="13">
        <v>2</v>
      </c>
      <c r="D349" s="13" t="s">
        <v>102</v>
      </c>
      <c r="E349" s="13">
        <v>23</v>
      </c>
      <c r="F349" s="13">
        <v>28</v>
      </c>
      <c r="G349" s="13">
        <v>5</v>
      </c>
      <c r="H349" s="13">
        <v>305000</v>
      </c>
      <c r="I349" s="13">
        <v>30500</v>
      </c>
      <c r="J349" s="13">
        <v>3779.6587965205999</v>
      </c>
      <c r="K349" s="13">
        <v>27450</v>
      </c>
      <c r="L349" s="13">
        <v>366729.65879651997</v>
      </c>
      <c r="M349" s="13">
        <v>635.41666666666595</v>
      </c>
      <c r="N349" s="13">
        <v>1397.9166666666599</v>
      </c>
      <c r="O349" s="13">
        <v>250</v>
      </c>
      <c r="P349" s="13">
        <v>200</v>
      </c>
      <c r="Q349" s="13">
        <v>2483.3333333333298</v>
      </c>
      <c r="R349" s="13">
        <v>3050</v>
      </c>
      <c r="S349" s="13">
        <v>3667.2965879652002</v>
      </c>
      <c r="T349" s="13">
        <v>9150</v>
      </c>
      <c r="U349" s="13">
        <v>11001.8897638956</v>
      </c>
      <c r="V349" s="15">
        <f t="shared" si="11"/>
        <v>61729.658796519972</v>
      </c>
    </row>
    <row r="350" spans="1:22" x14ac:dyDescent="0.2">
      <c r="A350" s="13">
        <v>160</v>
      </c>
      <c r="B350" s="13" t="s">
        <v>136</v>
      </c>
      <c r="C350" s="13">
        <v>2</v>
      </c>
      <c r="D350" s="13" t="s">
        <v>102</v>
      </c>
      <c r="E350" s="13">
        <v>23</v>
      </c>
      <c r="F350" s="13">
        <v>28</v>
      </c>
      <c r="G350" s="13">
        <v>5</v>
      </c>
      <c r="H350" s="13">
        <v>305000</v>
      </c>
      <c r="I350" s="13">
        <v>30500</v>
      </c>
      <c r="J350" s="13">
        <v>3779.6587965205999</v>
      </c>
      <c r="K350" s="13">
        <v>27450</v>
      </c>
      <c r="L350" s="13">
        <v>366729.65879651997</v>
      </c>
      <c r="M350" s="13">
        <v>635.41666666666595</v>
      </c>
      <c r="N350" s="13">
        <v>1397.9166666666599</v>
      </c>
      <c r="O350" s="13">
        <v>250</v>
      </c>
      <c r="P350" s="13">
        <v>200</v>
      </c>
      <c r="Q350" s="13">
        <v>2483.3333333333298</v>
      </c>
      <c r="R350" s="13">
        <v>3050</v>
      </c>
      <c r="S350" s="13">
        <v>3667.2965879652002</v>
      </c>
      <c r="T350" s="13">
        <v>9150</v>
      </c>
      <c r="U350" s="13">
        <v>11001.8897638956</v>
      </c>
      <c r="V350" s="15">
        <f t="shared" si="11"/>
        <v>61729.658796519972</v>
      </c>
    </row>
    <row r="351" spans="1:22" x14ac:dyDescent="0.2">
      <c r="V351" s="14">
        <f>SUM(V314:V350)</f>
        <v>2480855.9546057228</v>
      </c>
    </row>
    <row r="352" spans="1:22" x14ac:dyDescent="0.2">
      <c r="A352" s="13">
        <v>182</v>
      </c>
      <c r="B352" s="13" t="s">
        <v>101</v>
      </c>
      <c r="C352" s="13">
        <v>2</v>
      </c>
      <c r="D352" s="13" t="s">
        <v>104</v>
      </c>
      <c r="E352" s="13">
        <v>22</v>
      </c>
      <c r="F352" s="13">
        <v>29</v>
      </c>
      <c r="G352" s="13">
        <v>7</v>
      </c>
      <c r="H352" s="13">
        <v>676000</v>
      </c>
      <c r="I352" s="13">
        <v>34553.74</v>
      </c>
      <c r="J352" s="13">
        <v>19515.992356670598</v>
      </c>
      <c r="K352" s="13">
        <v>34553.74</v>
      </c>
      <c r="L352" s="13">
        <v>764623.47235666995</v>
      </c>
      <c r="M352" s="13">
        <v>1577.3333333333301</v>
      </c>
      <c r="N352" s="13">
        <v>7097.99999999999</v>
      </c>
      <c r="O352" s="13">
        <v>420</v>
      </c>
      <c r="P352" s="13">
        <v>350</v>
      </c>
      <c r="Q352" s="13">
        <v>9445.3333333333303</v>
      </c>
      <c r="R352" s="13">
        <v>6760</v>
      </c>
      <c r="S352" s="13">
        <v>9175.4816682800392</v>
      </c>
      <c r="T352" s="13">
        <v>20280</v>
      </c>
      <c r="U352" s="13">
        <v>22938.704170700101</v>
      </c>
      <c r="V352" s="15">
        <f t="shared" ref="V352:V371" si="12">L352-H352</f>
        <v>88623.472356669954</v>
      </c>
    </row>
    <row r="353" spans="1:22" x14ac:dyDescent="0.2">
      <c r="A353" s="13">
        <v>189</v>
      </c>
      <c r="B353" s="13" t="s">
        <v>101</v>
      </c>
      <c r="C353" s="13">
        <v>2</v>
      </c>
      <c r="D353" s="13" t="s">
        <v>103</v>
      </c>
      <c r="E353" s="13">
        <v>23</v>
      </c>
      <c r="F353" s="13">
        <v>29</v>
      </c>
      <c r="G353" s="13">
        <v>6</v>
      </c>
      <c r="H353" s="13">
        <v>443000</v>
      </c>
      <c r="I353" s="13">
        <v>27172.733999999899</v>
      </c>
      <c r="J353" s="13">
        <v>9857.8198507783309</v>
      </c>
      <c r="K353" s="13">
        <v>27172.733999999899</v>
      </c>
      <c r="L353" s="13">
        <v>507203.28785077803</v>
      </c>
      <c r="M353" s="13">
        <v>886</v>
      </c>
      <c r="N353" s="13">
        <v>3986.99999999999</v>
      </c>
      <c r="O353" s="13">
        <v>360</v>
      </c>
      <c r="P353" s="13">
        <v>300</v>
      </c>
      <c r="Q353" s="13">
        <v>5533</v>
      </c>
      <c r="R353" s="13">
        <v>4430</v>
      </c>
      <c r="S353" s="13">
        <v>6086.4394542093396</v>
      </c>
      <c r="T353" s="13">
        <v>13290</v>
      </c>
      <c r="U353" s="13">
        <v>15216.0986355233</v>
      </c>
      <c r="V353" s="15">
        <f t="shared" si="12"/>
        <v>64203.287850778026</v>
      </c>
    </row>
    <row r="354" spans="1:22" x14ac:dyDescent="0.2">
      <c r="A354" s="13">
        <v>192</v>
      </c>
      <c r="B354" s="13" t="s">
        <v>101</v>
      </c>
      <c r="C354" s="13">
        <v>2</v>
      </c>
      <c r="D354" s="13" t="s">
        <v>103</v>
      </c>
      <c r="E354" s="13">
        <v>23</v>
      </c>
      <c r="F354" s="13">
        <v>29</v>
      </c>
      <c r="G354" s="13">
        <v>6</v>
      </c>
      <c r="H354" s="13">
        <v>443000</v>
      </c>
      <c r="I354" s="13">
        <v>27172.733999999899</v>
      </c>
      <c r="J354" s="13">
        <v>9857.8198507783309</v>
      </c>
      <c r="K354" s="13">
        <v>27172.733999999899</v>
      </c>
      <c r="L354" s="13">
        <v>507203.28785077803</v>
      </c>
      <c r="M354" s="13">
        <v>886</v>
      </c>
      <c r="N354" s="13">
        <v>3986.99999999999</v>
      </c>
      <c r="O354" s="13">
        <v>360</v>
      </c>
      <c r="P354" s="13">
        <v>300</v>
      </c>
      <c r="Q354" s="13">
        <v>5533</v>
      </c>
      <c r="R354" s="13">
        <v>4430</v>
      </c>
      <c r="S354" s="13">
        <v>6086.4394542093396</v>
      </c>
      <c r="T354" s="13">
        <v>13290</v>
      </c>
      <c r="U354" s="13">
        <v>15216.0986355233</v>
      </c>
      <c r="V354" s="15">
        <f t="shared" si="12"/>
        <v>64203.287850778026</v>
      </c>
    </row>
    <row r="355" spans="1:22" x14ac:dyDescent="0.2">
      <c r="A355" s="13">
        <v>196</v>
      </c>
      <c r="B355" s="13" t="s">
        <v>101</v>
      </c>
      <c r="C355" s="13">
        <v>2</v>
      </c>
      <c r="D355" s="13" t="s">
        <v>103</v>
      </c>
      <c r="E355" s="13">
        <v>24</v>
      </c>
      <c r="F355" s="13">
        <v>29</v>
      </c>
      <c r="G355" s="13">
        <v>5</v>
      </c>
      <c r="H355" s="13">
        <v>443000</v>
      </c>
      <c r="I355" s="13">
        <v>27172.733999999899</v>
      </c>
      <c r="J355" s="13">
        <v>8199.7467798370599</v>
      </c>
      <c r="K355" s="13">
        <v>27172.733999999899</v>
      </c>
      <c r="L355" s="13">
        <v>505545.214779837</v>
      </c>
      <c r="M355" s="13">
        <v>738.33333333333303</v>
      </c>
      <c r="N355" s="13">
        <v>3322.49999999999</v>
      </c>
      <c r="O355" s="13">
        <v>300</v>
      </c>
      <c r="P355" s="13">
        <v>250</v>
      </c>
      <c r="Q355" s="13">
        <v>4610.8333333333303</v>
      </c>
      <c r="R355" s="13">
        <v>4430</v>
      </c>
      <c r="S355" s="13">
        <v>6066.54257735804</v>
      </c>
      <c r="T355" s="13">
        <v>13290</v>
      </c>
      <c r="U355" s="13">
        <v>15166.3564433951</v>
      </c>
      <c r="V355" s="15">
        <f t="shared" si="12"/>
        <v>62545.214779836999</v>
      </c>
    </row>
    <row r="356" spans="1:22" x14ac:dyDescent="0.2">
      <c r="A356" s="13">
        <v>197</v>
      </c>
      <c r="B356" s="13" t="s">
        <v>101</v>
      </c>
      <c r="C356" s="13">
        <v>2</v>
      </c>
      <c r="D356" s="13" t="s">
        <v>103</v>
      </c>
      <c r="E356" s="13">
        <v>24</v>
      </c>
      <c r="F356" s="13">
        <v>29</v>
      </c>
      <c r="G356" s="13">
        <v>5</v>
      </c>
      <c r="H356" s="13">
        <v>443000</v>
      </c>
      <c r="I356" s="13">
        <v>27172.733999999899</v>
      </c>
      <c r="J356" s="13">
        <v>8199.7467798370599</v>
      </c>
      <c r="K356" s="13">
        <v>27172.733999999899</v>
      </c>
      <c r="L356" s="13">
        <v>505545.214779837</v>
      </c>
      <c r="M356" s="13">
        <v>738.33333333333303</v>
      </c>
      <c r="N356" s="13">
        <v>3322.49999999999</v>
      </c>
      <c r="O356" s="13">
        <v>300</v>
      </c>
      <c r="P356" s="13">
        <v>250</v>
      </c>
      <c r="Q356" s="13">
        <v>4610.8333333333303</v>
      </c>
      <c r="R356" s="13">
        <v>4430</v>
      </c>
      <c r="S356" s="13">
        <v>6066.54257735804</v>
      </c>
      <c r="T356" s="13">
        <v>13290</v>
      </c>
      <c r="U356" s="13">
        <v>15166.3564433951</v>
      </c>
      <c r="V356" s="15">
        <f t="shared" si="12"/>
        <v>62545.214779836999</v>
      </c>
    </row>
    <row r="357" spans="1:22" x14ac:dyDescent="0.2">
      <c r="A357" s="13">
        <v>198</v>
      </c>
      <c r="B357" s="13" t="s">
        <v>101</v>
      </c>
      <c r="C357" s="13">
        <v>2</v>
      </c>
      <c r="D357" s="13" t="s">
        <v>103</v>
      </c>
      <c r="E357" s="13">
        <v>24</v>
      </c>
      <c r="F357" s="13">
        <v>29</v>
      </c>
      <c r="G357" s="13">
        <v>5</v>
      </c>
      <c r="H357" s="13">
        <v>443000</v>
      </c>
      <c r="I357" s="13">
        <v>27172.733999999899</v>
      </c>
      <c r="J357" s="13">
        <v>8199.7467798370599</v>
      </c>
      <c r="K357" s="13">
        <v>27172.733999999899</v>
      </c>
      <c r="L357" s="13">
        <v>505545.214779837</v>
      </c>
      <c r="M357" s="13">
        <v>738.33333333333303</v>
      </c>
      <c r="N357" s="13">
        <v>3322.49999999999</v>
      </c>
      <c r="O357" s="13">
        <v>300</v>
      </c>
      <c r="P357" s="13">
        <v>250</v>
      </c>
      <c r="Q357" s="13">
        <v>4610.8333333333303</v>
      </c>
      <c r="R357" s="13">
        <v>4430</v>
      </c>
      <c r="S357" s="13">
        <v>6066.54257735804</v>
      </c>
      <c r="T357" s="13">
        <v>13290</v>
      </c>
      <c r="U357" s="13">
        <v>15166.3564433951</v>
      </c>
      <c r="V357" s="15">
        <f t="shared" si="12"/>
        <v>62545.214779836999</v>
      </c>
    </row>
    <row r="358" spans="1:22" x14ac:dyDescent="0.2">
      <c r="A358" s="13">
        <v>105</v>
      </c>
      <c r="B358" s="13" t="s">
        <v>136</v>
      </c>
      <c r="C358" s="13">
        <v>2</v>
      </c>
      <c r="D358" s="13" t="s">
        <v>104</v>
      </c>
      <c r="E358" s="13">
        <v>20</v>
      </c>
      <c r="F358" s="13">
        <v>29</v>
      </c>
      <c r="G358" s="13">
        <v>9</v>
      </c>
      <c r="H358" s="13">
        <v>630000</v>
      </c>
      <c r="I358" s="13">
        <v>37800</v>
      </c>
      <c r="J358" s="13">
        <v>18807.0404585287</v>
      </c>
      <c r="K358" s="13">
        <v>37800</v>
      </c>
      <c r="L358" s="13">
        <v>724407.04045852798</v>
      </c>
      <c r="M358" s="13">
        <v>2362.5</v>
      </c>
      <c r="N358" s="13">
        <v>5197.5</v>
      </c>
      <c r="O358" s="13">
        <v>450</v>
      </c>
      <c r="P358" s="13">
        <v>360</v>
      </c>
      <c r="Q358" s="13">
        <v>8370</v>
      </c>
      <c r="R358" s="13">
        <v>6300</v>
      </c>
      <c r="S358" s="13">
        <v>7244.0704045852799</v>
      </c>
      <c r="T358" s="13">
        <v>18900</v>
      </c>
      <c r="U358" s="13">
        <v>21732.2112137558</v>
      </c>
      <c r="V358" s="15">
        <f t="shared" si="12"/>
        <v>94407.040458527976</v>
      </c>
    </row>
    <row r="359" spans="1:22" x14ac:dyDescent="0.2">
      <c r="A359" s="13">
        <v>133</v>
      </c>
      <c r="B359" s="13" t="s">
        <v>136</v>
      </c>
      <c r="C359" s="13">
        <v>2</v>
      </c>
      <c r="D359" s="13" t="s">
        <v>104</v>
      </c>
      <c r="E359" s="13">
        <v>21</v>
      </c>
      <c r="F359" s="13">
        <v>29</v>
      </c>
      <c r="G359" s="13">
        <v>8</v>
      </c>
      <c r="H359" s="13">
        <v>630000</v>
      </c>
      <c r="I359" s="13">
        <v>37800</v>
      </c>
      <c r="J359" s="13">
        <v>16689.945856031802</v>
      </c>
      <c r="K359" s="13">
        <v>37800</v>
      </c>
      <c r="L359" s="13">
        <v>722289.94585603103</v>
      </c>
      <c r="M359" s="13">
        <v>2100</v>
      </c>
      <c r="N359" s="13">
        <v>4620</v>
      </c>
      <c r="O359" s="13">
        <v>400</v>
      </c>
      <c r="P359" s="13">
        <v>320</v>
      </c>
      <c r="Q359" s="13">
        <v>7440</v>
      </c>
      <c r="R359" s="13">
        <v>6300</v>
      </c>
      <c r="S359" s="13">
        <v>7222.8994585603104</v>
      </c>
      <c r="T359" s="13">
        <v>18900</v>
      </c>
      <c r="U359" s="13">
        <v>21668.698375680899</v>
      </c>
      <c r="V359" s="15">
        <f t="shared" si="12"/>
        <v>92289.94585603103</v>
      </c>
    </row>
    <row r="360" spans="1:22" x14ac:dyDescent="0.2">
      <c r="A360" s="13">
        <v>145</v>
      </c>
      <c r="B360" s="13" t="s">
        <v>136</v>
      </c>
      <c r="C360" s="13">
        <v>2</v>
      </c>
      <c r="D360" s="13" t="s">
        <v>103</v>
      </c>
      <c r="E360" s="13">
        <v>22</v>
      </c>
      <c r="F360" s="13">
        <v>29</v>
      </c>
      <c r="G360" s="13">
        <v>7</v>
      </c>
      <c r="H360" s="13">
        <v>405000</v>
      </c>
      <c r="I360" s="13">
        <v>32400</v>
      </c>
      <c r="J360" s="13">
        <v>8209.4329593602797</v>
      </c>
      <c r="K360" s="13">
        <v>28350</v>
      </c>
      <c r="L360" s="13">
        <v>473959.43295936001</v>
      </c>
      <c r="M360" s="13">
        <v>1181.25</v>
      </c>
      <c r="N360" s="13">
        <v>2598.75</v>
      </c>
      <c r="O360" s="13">
        <v>350</v>
      </c>
      <c r="P360" s="13">
        <v>280</v>
      </c>
      <c r="Q360" s="13">
        <v>4410</v>
      </c>
      <c r="R360" s="13">
        <v>4050</v>
      </c>
      <c r="S360" s="13">
        <v>4739.5943295936004</v>
      </c>
      <c r="T360" s="13">
        <v>12150</v>
      </c>
      <c r="U360" s="13">
        <v>14218.7829887808</v>
      </c>
      <c r="V360" s="15">
        <f t="shared" si="12"/>
        <v>68959.432959360012</v>
      </c>
    </row>
    <row r="361" spans="1:22" x14ac:dyDescent="0.2">
      <c r="A361" s="13">
        <v>147</v>
      </c>
      <c r="B361" s="13" t="s">
        <v>136</v>
      </c>
      <c r="C361" s="13">
        <v>2</v>
      </c>
      <c r="D361" s="13" t="s">
        <v>103</v>
      </c>
      <c r="E361" s="13">
        <v>22</v>
      </c>
      <c r="F361" s="13">
        <v>29</v>
      </c>
      <c r="G361" s="13">
        <v>7</v>
      </c>
      <c r="H361" s="13">
        <v>405000</v>
      </c>
      <c r="I361" s="13">
        <v>32400</v>
      </c>
      <c r="J361" s="13">
        <v>8209.4329593602797</v>
      </c>
      <c r="K361" s="13">
        <v>28350</v>
      </c>
      <c r="L361" s="13">
        <v>473959.43295936001</v>
      </c>
      <c r="M361" s="13">
        <v>1181.25</v>
      </c>
      <c r="N361" s="13">
        <v>2598.75</v>
      </c>
      <c r="O361" s="13">
        <v>350</v>
      </c>
      <c r="P361" s="13">
        <v>280</v>
      </c>
      <c r="Q361" s="13">
        <v>4410</v>
      </c>
      <c r="R361" s="13">
        <v>4050</v>
      </c>
      <c r="S361" s="13">
        <v>4739.5943295936004</v>
      </c>
      <c r="T361" s="13">
        <v>12150</v>
      </c>
      <c r="U361" s="13">
        <v>14218.7829887808</v>
      </c>
      <c r="V361" s="15">
        <f t="shared" si="12"/>
        <v>68959.432959360012</v>
      </c>
    </row>
    <row r="362" spans="1:22" x14ac:dyDescent="0.2">
      <c r="A362" s="13">
        <v>148</v>
      </c>
      <c r="B362" s="13" t="s">
        <v>136</v>
      </c>
      <c r="C362" s="13">
        <v>2</v>
      </c>
      <c r="D362" s="13" t="s">
        <v>103</v>
      </c>
      <c r="E362" s="13">
        <v>22</v>
      </c>
      <c r="F362" s="13">
        <v>29</v>
      </c>
      <c r="G362" s="13">
        <v>7</v>
      </c>
      <c r="H362" s="13">
        <v>405000</v>
      </c>
      <c r="I362" s="13">
        <v>32400</v>
      </c>
      <c r="J362" s="13">
        <v>8209.4329593602797</v>
      </c>
      <c r="K362" s="13">
        <v>28350</v>
      </c>
      <c r="L362" s="13">
        <v>473959.43295936001</v>
      </c>
      <c r="M362" s="13">
        <v>1181.25</v>
      </c>
      <c r="N362" s="13">
        <v>2598.75</v>
      </c>
      <c r="O362" s="13">
        <v>350</v>
      </c>
      <c r="P362" s="13">
        <v>280</v>
      </c>
      <c r="Q362" s="13">
        <v>4410</v>
      </c>
      <c r="R362" s="13">
        <v>4050</v>
      </c>
      <c r="S362" s="13">
        <v>4739.5943295936004</v>
      </c>
      <c r="T362" s="13">
        <v>12150</v>
      </c>
      <c r="U362" s="13">
        <v>14218.7829887808</v>
      </c>
      <c r="V362" s="15">
        <f t="shared" si="12"/>
        <v>68959.432959360012</v>
      </c>
    </row>
    <row r="363" spans="1:22" x14ac:dyDescent="0.2">
      <c r="A363" s="13">
        <v>150</v>
      </c>
      <c r="B363" s="13" t="s">
        <v>136</v>
      </c>
      <c r="C363" s="13">
        <v>2</v>
      </c>
      <c r="D363" s="13" t="s">
        <v>103</v>
      </c>
      <c r="E363" s="13">
        <v>22</v>
      </c>
      <c r="F363" s="13">
        <v>29</v>
      </c>
      <c r="G363" s="13">
        <v>7</v>
      </c>
      <c r="H363" s="13">
        <v>405000</v>
      </c>
      <c r="I363" s="13">
        <v>32400</v>
      </c>
      <c r="J363" s="13">
        <v>8209.4329593602797</v>
      </c>
      <c r="K363" s="13">
        <v>28350</v>
      </c>
      <c r="L363" s="13">
        <v>473959.43295936001</v>
      </c>
      <c r="M363" s="13">
        <v>1181.25</v>
      </c>
      <c r="N363" s="13">
        <v>2598.75</v>
      </c>
      <c r="O363" s="13">
        <v>350</v>
      </c>
      <c r="P363" s="13">
        <v>280</v>
      </c>
      <c r="Q363" s="13">
        <v>4410</v>
      </c>
      <c r="R363" s="13">
        <v>4050</v>
      </c>
      <c r="S363" s="13">
        <v>4739.5943295936004</v>
      </c>
      <c r="T363" s="13">
        <v>12150</v>
      </c>
      <c r="U363" s="13">
        <v>14218.7829887808</v>
      </c>
      <c r="V363" s="15">
        <f t="shared" si="12"/>
        <v>68959.432959360012</v>
      </c>
    </row>
    <row r="364" spans="1:22" x14ac:dyDescent="0.2">
      <c r="A364" s="13">
        <v>156</v>
      </c>
      <c r="B364" s="13" t="s">
        <v>136</v>
      </c>
      <c r="C364" s="13">
        <v>2</v>
      </c>
      <c r="D364" s="13" t="s">
        <v>102</v>
      </c>
      <c r="E364" s="13">
        <v>23</v>
      </c>
      <c r="F364" s="13">
        <v>29</v>
      </c>
      <c r="G364" s="13">
        <v>6</v>
      </c>
      <c r="H364" s="13">
        <v>305000</v>
      </c>
      <c r="I364" s="13">
        <v>30500</v>
      </c>
      <c r="J364" s="13">
        <v>4541.1927353126903</v>
      </c>
      <c r="K364" s="13">
        <v>27450</v>
      </c>
      <c r="L364" s="13">
        <v>367491.19273531198</v>
      </c>
      <c r="M364" s="13">
        <v>762.5</v>
      </c>
      <c r="N364" s="13">
        <v>1677.5</v>
      </c>
      <c r="O364" s="13">
        <v>300</v>
      </c>
      <c r="P364" s="13">
        <v>240</v>
      </c>
      <c r="Q364" s="13">
        <v>2980</v>
      </c>
      <c r="R364" s="13">
        <v>3050</v>
      </c>
      <c r="S364" s="13">
        <v>3674.9119273531201</v>
      </c>
      <c r="T364" s="13">
        <v>9150</v>
      </c>
      <c r="U364" s="13">
        <v>11024.735782059301</v>
      </c>
      <c r="V364" s="15">
        <f t="shared" si="12"/>
        <v>62491.192735311983</v>
      </c>
    </row>
    <row r="365" spans="1:22" x14ac:dyDescent="0.2">
      <c r="A365" s="13">
        <v>158</v>
      </c>
      <c r="B365" s="13" t="s">
        <v>136</v>
      </c>
      <c r="C365" s="13">
        <v>2</v>
      </c>
      <c r="D365" s="13" t="s">
        <v>102</v>
      </c>
      <c r="E365" s="13">
        <v>23</v>
      </c>
      <c r="F365" s="13">
        <v>29</v>
      </c>
      <c r="G365" s="13">
        <v>6</v>
      </c>
      <c r="H365" s="13">
        <v>305000</v>
      </c>
      <c r="I365" s="13">
        <v>30500</v>
      </c>
      <c r="J365" s="13">
        <v>4541.1927353126903</v>
      </c>
      <c r="K365" s="13">
        <v>27450</v>
      </c>
      <c r="L365" s="13">
        <v>367491.19273531198</v>
      </c>
      <c r="M365" s="13">
        <v>762.5</v>
      </c>
      <c r="N365" s="13">
        <v>1677.5</v>
      </c>
      <c r="O365" s="13">
        <v>300</v>
      </c>
      <c r="P365" s="13">
        <v>240</v>
      </c>
      <c r="Q365" s="13">
        <v>2980</v>
      </c>
      <c r="R365" s="13">
        <v>3050</v>
      </c>
      <c r="S365" s="13">
        <v>3674.9119273531201</v>
      </c>
      <c r="T365" s="13">
        <v>9150</v>
      </c>
      <c r="U365" s="13">
        <v>11024.735782059301</v>
      </c>
      <c r="V365" s="15">
        <f t="shared" si="12"/>
        <v>62491.192735311983</v>
      </c>
    </row>
    <row r="366" spans="1:22" x14ac:dyDescent="0.2">
      <c r="A366" s="13">
        <v>159</v>
      </c>
      <c r="B366" s="13" t="s">
        <v>136</v>
      </c>
      <c r="C366" s="13">
        <v>2</v>
      </c>
      <c r="D366" s="13" t="s">
        <v>102</v>
      </c>
      <c r="E366" s="13">
        <v>23</v>
      </c>
      <c r="F366" s="13">
        <v>29</v>
      </c>
      <c r="G366" s="13">
        <v>6</v>
      </c>
      <c r="H366" s="13">
        <v>305000</v>
      </c>
      <c r="I366" s="13">
        <v>30500</v>
      </c>
      <c r="J366" s="13">
        <v>4541.1927353126903</v>
      </c>
      <c r="K366" s="13">
        <v>27450</v>
      </c>
      <c r="L366" s="13">
        <v>367491.19273531198</v>
      </c>
      <c r="M366" s="13">
        <v>762.5</v>
      </c>
      <c r="N366" s="13">
        <v>1677.5</v>
      </c>
      <c r="O366" s="13">
        <v>300</v>
      </c>
      <c r="P366" s="13">
        <v>240</v>
      </c>
      <c r="Q366" s="13">
        <v>2980</v>
      </c>
      <c r="R366" s="13">
        <v>3050</v>
      </c>
      <c r="S366" s="13">
        <v>3674.9119273531201</v>
      </c>
      <c r="T366" s="13">
        <v>9150</v>
      </c>
      <c r="U366" s="13">
        <v>11024.735782059301</v>
      </c>
      <c r="V366" s="15">
        <f t="shared" si="12"/>
        <v>62491.192735311983</v>
      </c>
    </row>
    <row r="367" spans="1:22" x14ac:dyDescent="0.2">
      <c r="A367" s="13">
        <v>161</v>
      </c>
      <c r="B367" s="13" t="s">
        <v>136</v>
      </c>
      <c r="C367" s="13">
        <v>2</v>
      </c>
      <c r="D367" s="13" t="s">
        <v>103</v>
      </c>
      <c r="E367" s="13">
        <v>23</v>
      </c>
      <c r="F367" s="13">
        <v>29</v>
      </c>
      <c r="G367" s="13">
        <v>6</v>
      </c>
      <c r="H367" s="13">
        <v>405000</v>
      </c>
      <c r="I367" s="13">
        <v>32400</v>
      </c>
      <c r="J367" s="13">
        <v>7026.5464748600298</v>
      </c>
      <c r="K367" s="13">
        <v>28350</v>
      </c>
      <c r="L367" s="13">
        <v>472776.54647485999</v>
      </c>
      <c r="M367" s="13">
        <v>1012.5</v>
      </c>
      <c r="N367" s="13">
        <v>2227.5</v>
      </c>
      <c r="O367" s="13">
        <v>300</v>
      </c>
      <c r="P367" s="13">
        <v>240</v>
      </c>
      <c r="Q367" s="13">
        <v>3780</v>
      </c>
      <c r="R367" s="13">
        <v>4050</v>
      </c>
      <c r="S367" s="13">
        <v>4727.7654647485997</v>
      </c>
      <c r="T367" s="13">
        <v>12150</v>
      </c>
      <c r="U367" s="13">
        <v>14183.296394245799</v>
      </c>
      <c r="V367" s="15">
        <f t="shared" si="12"/>
        <v>67776.546474859992</v>
      </c>
    </row>
    <row r="368" spans="1:22" x14ac:dyDescent="0.2">
      <c r="A368" s="13">
        <v>164</v>
      </c>
      <c r="B368" s="13" t="s">
        <v>136</v>
      </c>
      <c r="C368" s="13">
        <v>2</v>
      </c>
      <c r="D368" s="13" t="s">
        <v>103</v>
      </c>
      <c r="E368" s="13">
        <v>23</v>
      </c>
      <c r="F368" s="13">
        <v>29</v>
      </c>
      <c r="G368" s="13">
        <v>6</v>
      </c>
      <c r="H368" s="13">
        <v>405000</v>
      </c>
      <c r="I368" s="13">
        <v>32400</v>
      </c>
      <c r="J368" s="13">
        <v>7026.5464748600298</v>
      </c>
      <c r="K368" s="13">
        <v>28350</v>
      </c>
      <c r="L368" s="13">
        <v>472776.54647485999</v>
      </c>
      <c r="M368" s="13">
        <v>1012.5</v>
      </c>
      <c r="N368" s="13">
        <v>2227.5</v>
      </c>
      <c r="O368" s="13">
        <v>300</v>
      </c>
      <c r="P368" s="13">
        <v>240</v>
      </c>
      <c r="Q368" s="13">
        <v>3780</v>
      </c>
      <c r="R368" s="13">
        <v>4050</v>
      </c>
      <c r="S368" s="13">
        <v>4727.7654647485997</v>
      </c>
      <c r="T368" s="13">
        <v>12150</v>
      </c>
      <c r="U368" s="13">
        <v>14183.296394245799</v>
      </c>
      <c r="V368" s="15">
        <f t="shared" si="12"/>
        <v>67776.546474859992</v>
      </c>
    </row>
    <row r="369" spans="1:22" x14ac:dyDescent="0.2">
      <c r="A369" s="13">
        <v>165</v>
      </c>
      <c r="B369" s="13" t="s">
        <v>136</v>
      </c>
      <c r="C369" s="13">
        <v>2</v>
      </c>
      <c r="D369" s="13" t="s">
        <v>103</v>
      </c>
      <c r="E369" s="13">
        <v>23</v>
      </c>
      <c r="F369" s="13">
        <v>29</v>
      </c>
      <c r="G369" s="13">
        <v>6</v>
      </c>
      <c r="H369" s="13">
        <v>405000</v>
      </c>
      <c r="I369" s="13">
        <v>32400</v>
      </c>
      <c r="J369" s="13">
        <v>7026.5464748600298</v>
      </c>
      <c r="K369" s="13">
        <v>28350</v>
      </c>
      <c r="L369" s="13">
        <v>472776.54647485999</v>
      </c>
      <c r="M369" s="13">
        <v>1012.5</v>
      </c>
      <c r="N369" s="13">
        <v>2227.5</v>
      </c>
      <c r="O369" s="13">
        <v>300</v>
      </c>
      <c r="P369" s="13">
        <v>240</v>
      </c>
      <c r="Q369" s="13">
        <v>3780</v>
      </c>
      <c r="R369" s="13">
        <v>4050</v>
      </c>
      <c r="S369" s="13">
        <v>4727.7654647485997</v>
      </c>
      <c r="T369" s="13">
        <v>12150</v>
      </c>
      <c r="U369" s="13">
        <v>14183.296394245799</v>
      </c>
      <c r="V369" s="15">
        <f t="shared" si="12"/>
        <v>67776.546474859992</v>
      </c>
    </row>
    <row r="370" spans="1:22" x14ac:dyDescent="0.2">
      <c r="A370" s="13">
        <v>166</v>
      </c>
      <c r="B370" s="13" t="s">
        <v>136</v>
      </c>
      <c r="C370" s="13">
        <v>2</v>
      </c>
      <c r="D370" s="13" t="s">
        <v>103</v>
      </c>
      <c r="E370" s="13">
        <v>23</v>
      </c>
      <c r="F370" s="13">
        <v>29</v>
      </c>
      <c r="G370" s="13">
        <v>6</v>
      </c>
      <c r="H370" s="13">
        <v>405000</v>
      </c>
      <c r="I370" s="13">
        <v>32400</v>
      </c>
      <c r="J370" s="13">
        <v>7026.5464748600298</v>
      </c>
      <c r="K370" s="13">
        <v>28350</v>
      </c>
      <c r="L370" s="13">
        <v>472776.54647485999</v>
      </c>
      <c r="M370" s="13">
        <v>1012.5</v>
      </c>
      <c r="N370" s="13">
        <v>2227.5</v>
      </c>
      <c r="O370" s="13">
        <v>300</v>
      </c>
      <c r="P370" s="13">
        <v>240</v>
      </c>
      <c r="Q370" s="13">
        <v>3780</v>
      </c>
      <c r="R370" s="13">
        <v>4050</v>
      </c>
      <c r="S370" s="13">
        <v>4727.7654647485997</v>
      </c>
      <c r="T370" s="13">
        <v>12150</v>
      </c>
      <c r="U370" s="13">
        <v>14183.296394245799</v>
      </c>
      <c r="V370" s="15">
        <f t="shared" si="12"/>
        <v>67776.546474859992</v>
      </c>
    </row>
    <row r="371" spans="1:22" x14ac:dyDescent="0.2">
      <c r="A371" s="13">
        <v>169</v>
      </c>
      <c r="B371" s="13" t="s">
        <v>136</v>
      </c>
      <c r="C371" s="13">
        <v>2</v>
      </c>
      <c r="D371" s="13" t="s">
        <v>102</v>
      </c>
      <c r="E371" s="13">
        <v>24</v>
      </c>
      <c r="F371" s="13">
        <v>29</v>
      </c>
      <c r="G371" s="13">
        <v>5</v>
      </c>
      <c r="H371" s="13">
        <v>305000</v>
      </c>
      <c r="I371" s="13">
        <v>30500</v>
      </c>
      <c r="J371" s="13">
        <v>3779.6587965205999</v>
      </c>
      <c r="K371" s="13">
        <v>27450</v>
      </c>
      <c r="L371" s="13">
        <v>366729.65879651997</v>
      </c>
      <c r="M371" s="13">
        <v>635.41666666666595</v>
      </c>
      <c r="N371" s="13">
        <v>1397.9166666666599</v>
      </c>
      <c r="O371" s="13">
        <v>250</v>
      </c>
      <c r="P371" s="13">
        <v>200</v>
      </c>
      <c r="Q371" s="13">
        <v>2483.3333333333298</v>
      </c>
      <c r="R371" s="13">
        <v>3050</v>
      </c>
      <c r="S371" s="13">
        <v>3667.2965879652002</v>
      </c>
      <c r="T371" s="13">
        <v>9150</v>
      </c>
      <c r="U371" s="13">
        <v>11001.8897638956</v>
      </c>
      <c r="V371" s="15">
        <f t="shared" si="12"/>
        <v>61729.658796519972</v>
      </c>
    </row>
    <row r="372" spans="1:22" x14ac:dyDescent="0.2">
      <c r="V372" s="14">
        <f>SUM(V352:V371)</f>
        <v>1387509.8334516326</v>
      </c>
    </row>
    <row r="373" spans="1:22" x14ac:dyDescent="0.2">
      <c r="A373" s="13">
        <v>193</v>
      </c>
      <c r="B373" s="13" t="s">
        <v>101</v>
      </c>
      <c r="C373" s="13">
        <v>2</v>
      </c>
      <c r="D373" s="13" t="s">
        <v>104</v>
      </c>
      <c r="E373" s="13">
        <v>23</v>
      </c>
      <c r="F373" s="13">
        <v>30</v>
      </c>
      <c r="G373" s="13">
        <v>7</v>
      </c>
      <c r="H373" s="13">
        <v>676000</v>
      </c>
      <c r="I373" s="13">
        <v>34553.74</v>
      </c>
      <c r="J373" s="13">
        <v>19515.992356670598</v>
      </c>
      <c r="K373" s="13">
        <v>34553.74</v>
      </c>
      <c r="L373" s="13">
        <v>764623.47235666995</v>
      </c>
      <c r="M373" s="13">
        <v>1577.3333333333301</v>
      </c>
      <c r="N373" s="13">
        <v>7097.99999999999</v>
      </c>
      <c r="O373" s="13">
        <v>420</v>
      </c>
      <c r="P373" s="13">
        <v>350</v>
      </c>
      <c r="Q373" s="13">
        <v>9445.3333333333303</v>
      </c>
      <c r="R373" s="13">
        <v>6760</v>
      </c>
      <c r="S373" s="13">
        <v>9175.4816682800392</v>
      </c>
      <c r="T373" s="13">
        <v>20280</v>
      </c>
      <c r="U373" s="13">
        <v>22938.704170700101</v>
      </c>
      <c r="V373" s="15">
        <f t="shared" ref="V373:V387" si="13">L373-H373</f>
        <v>88623.472356669954</v>
      </c>
    </row>
    <row r="374" spans="1:22" x14ac:dyDescent="0.2">
      <c r="A374" s="13">
        <v>199</v>
      </c>
      <c r="B374" s="13" t="s">
        <v>101</v>
      </c>
      <c r="C374" s="13">
        <v>2</v>
      </c>
      <c r="D374" s="13" t="s">
        <v>103</v>
      </c>
      <c r="E374" s="13">
        <v>24</v>
      </c>
      <c r="F374" s="13">
        <v>30</v>
      </c>
      <c r="G374" s="13">
        <v>6</v>
      </c>
      <c r="H374" s="13">
        <v>443000</v>
      </c>
      <c r="I374" s="13">
        <v>27172.733999999899</v>
      </c>
      <c r="J374" s="13">
        <v>9857.8198507783309</v>
      </c>
      <c r="K374" s="13">
        <v>27172.733999999899</v>
      </c>
      <c r="L374" s="13">
        <v>507203.28785077803</v>
      </c>
      <c r="M374" s="13">
        <v>886</v>
      </c>
      <c r="N374" s="13">
        <v>3986.99999999999</v>
      </c>
      <c r="O374" s="13">
        <v>360</v>
      </c>
      <c r="P374" s="13">
        <v>300</v>
      </c>
      <c r="Q374" s="13">
        <v>5533</v>
      </c>
      <c r="R374" s="13">
        <v>4430</v>
      </c>
      <c r="S374" s="13">
        <v>6086.4394542093396</v>
      </c>
      <c r="T374" s="13">
        <v>13290</v>
      </c>
      <c r="U374" s="13">
        <v>15216.0986355233</v>
      </c>
      <c r="V374" s="15">
        <f t="shared" si="13"/>
        <v>64203.287850778026</v>
      </c>
    </row>
    <row r="375" spans="1:22" x14ac:dyDescent="0.2">
      <c r="A375" s="13">
        <v>200</v>
      </c>
      <c r="B375" s="13" t="s">
        <v>101</v>
      </c>
      <c r="C375" s="13">
        <v>2</v>
      </c>
      <c r="D375" s="13" t="s">
        <v>104</v>
      </c>
      <c r="E375" s="13">
        <v>24</v>
      </c>
      <c r="F375" s="13">
        <v>30</v>
      </c>
      <c r="G375" s="13">
        <v>6</v>
      </c>
      <c r="H375" s="13">
        <v>676000</v>
      </c>
      <c r="I375" s="13">
        <v>34553.74</v>
      </c>
      <c r="J375" s="13">
        <v>16693.871778868899</v>
      </c>
      <c r="K375" s="13">
        <v>34553.74</v>
      </c>
      <c r="L375" s="13">
        <v>761801.351778868</v>
      </c>
      <c r="M375" s="13">
        <v>1352</v>
      </c>
      <c r="N375" s="13">
        <v>6083.99999999999</v>
      </c>
      <c r="O375" s="13">
        <v>360</v>
      </c>
      <c r="P375" s="13">
        <v>300</v>
      </c>
      <c r="Q375" s="13">
        <v>8095.99999999999</v>
      </c>
      <c r="R375" s="13">
        <v>6760</v>
      </c>
      <c r="S375" s="13">
        <v>9141.6162213464195</v>
      </c>
      <c r="T375" s="13">
        <v>20280</v>
      </c>
      <c r="U375" s="13">
        <v>22854.040553366001</v>
      </c>
      <c r="V375" s="15">
        <f t="shared" si="13"/>
        <v>85801.351778868004</v>
      </c>
    </row>
    <row r="376" spans="1:22" x14ac:dyDescent="0.2">
      <c r="A376" s="13">
        <v>134</v>
      </c>
      <c r="B376" s="13" t="s">
        <v>136</v>
      </c>
      <c r="C376" s="13">
        <v>2</v>
      </c>
      <c r="D376" s="13" t="s">
        <v>104</v>
      </c>
      <c r="E376" s="13">
        <v>21</v>
      </c>
      <c r="F376" s="13">
        <v>30</v>
      </c>
      <c r="G376" s="13">
        <v>9</v>
      </c>
      <c r="H376" s="13">
        <v>630000</v>
      </c>
      <c r="I376" s="13">
        <v>37800</v>
      </c>
      <c r="J376" s="13">
        <v>18807.0404585287</v>
      </c>
      <c r="K376" s="13">
        <v>37800</v>
      </c>
      <c r="L376" s="13">
        <v>724407.04045852798</v>
      </c>
      <c r="M376" s="13">
        <v>2362.5</v>
      </c>
      <c r="N376" s="13">
        <v>5197.5</v>
      </c>
      <c r="O376" s="13">
        <v>450</v>
      </c>
      <c r="P376" s="13">
        <v>360</v>
      </c>
      <c r="Q376" s="13">
        <v>8370</v>
      </c>
      <c r="R376" s="13">
        <v>6300</v>
      </c>
      <c r="S376" s="13">
        <v>7244.0704045852799</v>
      </c>
      <c r="T376" s="13">
        <v>18900</v>
      </c>
      <c r="U376" s="13">
        <v>21732.2112137558</v>
      </c>
      <c r="V376" s="15">
        <f t="shared" si="13"/>
        <v>94407.040458527976</v>
      </c>
    </row>
    <row r="377" spans="1:22" x14ac:dyDescent="0.2">
      <c r="A377" s="13">
        <v>135</v>
      </c>
      <c r="B377" s="13" t="s">
        <v>136</v>
      </c>
      <c r="C377" s="13">
        <v>2</v>
      </c>
      <c r="D377" s="13" t="s">
        <v>104</v>
      </c>
      <c r="E377" s="13">
        <v>21</v>
      </c>
      <c r="F377" s="13">
        <v>30</v>
      </c>
      <c r="G377" s="13">
        <v>9</v>
      </c>
      <c r="H377" s="13">
        <v>630000</v>
      </c>
      <c r="I377" s="13">
        <v>37800</v>
      </c>
      <c r="J377" s="13">
        <v>18807.0404585287</v>
      </c>
      <c r="K377" s="13">
        <v>37800</v>
      </c>
      <c r="L377" s="13">
        <v>724407.04045852798</v>
      </c>
      <c r="M377" s="13">
        <v>2362.5</v>
      </c>
      <c r="N377" s="13">
        <v>5197.5</v>
      </c>
      <c r="O377" s="13">
        <v>450</v>
      </c>
      <c r="P377" s="13">
        <v>360</v>
      </c>
      <c r="Q377" s="13">
        <v>8370</v>
      </c>
      <c r="R377" s="13">
        <v>6300</v>
      </c>
      <c r="S377" s="13">
        <v>7244.0704045852799</v>
      </c>
      <c r="T377" s="13">
        <v>18900</v>
      </c>
      <c r="U377" s="13">
        <v>21732.2112137558</v>
      </c>
      <c r="V377" s="15">
        <f t="shared" si="13"/>
        <v>94407.040458527976</v>
      </c>
    </row>
    <row r="378" spans="1:22" x14ac:dyDescent="0.2">
      <c r="A378" s="13">
        <v>152</v>
      </c>
      <c r="B378" s="13" t="s">
        <v>136</v>
      </c>
      <c r="C378" s="13">
        <v>2</v>
      </c>
      <c r="D378" s="13" t="s">
        <v>104</v>
      </c>
      <c r="E378" s="13">
        <v>22</v>
      </c>
      <c r="F378" s="13">
        <v>30</v>
      </c>
      <c r="G378" s="13">
        <v>8</v>
      </c>
      <c r="H378" s="13">
        <v>630000</v>
      </c>
      <c r="I378" s="13">
        <v>37800</v>
      </c>
      <c r="J378" s="13">
        <v>16689.945856031802</v>
      </c>
      <c r="K378" s="13">
        <v>37800</v>
      </c>
      <c r="L378" s="13">
        <v>722289.94585603103</v>
      </c>
      <c r="M378" s="13">
        <v>2100</v>
      </c>
      <c r="N378" s="13">
        <v>4620</v>
      </c>
      <c r="O378" s="13">
        <v>400</v>
      </c>
      <c r="P378" s="13">
        <v>320</v>
      </c>
      <c r="Q378" s="13">
        <v>7440</v>
      </c>
      <c r="R378" s="13">
        <v>6300</v>
      </c>
      <c r="S378" s="13">
        <v>7222.8994585603104</v>
      </c>
      <c r="T378" s="13">
        <v>18900</v>
      </c>
      <c r="U378" s="13">
        <v>21668.698375680899</v>
      </c>
      <c r="V378" s="15">
        <f t="shared" si="13"/>
        <v>92289.94585603103</v>
      </c>
    </row>
    <row r="379" spans="1:22" x14ac:dyDescent="0.2">
      <c r="A379" s="13">
        <v>162</v>
      </c>
      <c r="B379" s="13" t="s">
        <v>136</v>
      </c>
      <c r="C379" s="13">
        <v>2</v>
      </c>
      <c r="D379" s="13" t="s">
        <v>103</v>
      </c>
      <c r="E379" s="13">
        <v>23</v>
      </c>
      <c r="F379" s="13">
        <v>30</v>
      </c>
      <c r="G379" s="13">
        <v>7</v>
      </c>
      <c r="H379" s="13">
        <v>405000</v>
      </c>
      <c r="I379" s="13">
        <v>32400</v>
      </c>
      <c r="J379" s="13">
        <v>8209.4329593602797</v>
      </c>
      <c r="K379" s="13">
        <v>28350</v>
      </c>
      <c r="L379" s="13">
        <v>473959.43295936001</v>
      </c>
      <c r="M379" s="13">
        <v>1181.25</v>
      </c>
      <c r="N379" s="13">
        <v>2598.75</v>
      </c>
      <c r="O379" s="13">
        <v>350</v>
      </c>
      <c r="P379" s="13">
        <v>280</v>
      </c>
      <c r="Q379" s="13">
        <v>4410</v>
      </c>
      <c r="R379" s="13">
        <v>4050</v>
      </c>
      <c r="S379" s="13">
        <v>4739.5943295936004</v>
      </c>
      <c r="T379" s="13">
        <v>12150</v>
      </c>
      <c r="U379" s="13">
        <v>14218.7829887808</v>
      </c>
      <c r="V379" s="15">
        <f t="shared" si="13"/>
        <v>68959.432959360012</v>
      </c>
    </row>
    <row r="380" spans="1:22" x14ac:dyDescent="0.2">
      <c r="A380" s="13">
        <v>163</v>
      </c>
      <c r="B380" s="13" t="s">
        <v>136</v>
      </c>
      <c r="C380" s="13">
        <v>2</v>
      </c>
      <c r="D380" s="13" t="s">
        <v>103</v>
      </c>
      <c r="E380" s="13">
        <v>23</v>
      </c>
      <c r="F380" s="13">
        <v>30</v>
      </c>
      <c r="G380" s="13">
        <v>7</v>
      </c>
      <c r="H380" s="13">
        <v>405000</v>
      </c>
      <c r="I380" s="13">
        <v>32400</v>
      </c>
      <c r="J380" s="13">
        <v>8209.4329593602797</v>
      </c>
      <c r="K380" s="13">
        <v>28350</v>
      </c>
      <c r="L380" s="13">
        <v>473959.43295936001</v>
      </c>
      <c r="M380" s="13">
        <v>1181.25</v>
      </c>
      <c r="N380" s="13">
        <v>2598.75</v>
      </c>
      <c r="O380" s="13">
        <v>350</v>
      </c>
      <c r="P380" s="13">
        <v>280</v>
      </c>
      <c r="Q380" s="13">
        <v>4410</v>
      </c>
      <c r="R380" s="13">
        <v>4050</v>
      </c>
      <c r="S380" s="13">
        <v>4739.5943295936004</v>
      </c>
      <c r="T380" s="13">
        <v>12150</v>
      </c>
      <c r="U380" s="13">
        <v>14218.7829887808</v>
      </c>
      <c r="V380" s="15">
        <f t="shared" si="13"/>
        <v>68959.432959360012</v>
      </c>
    </row>
    <row r="381" spans="1:22" x14ac:dyDescent="0.2">
      <c r="A381" s="13">
        <v>167</v>
      </c>
      <c r="B381" s="13" t="s">
        <v>136</v>
      </c>
      <c r="C381" s="13">
        <v>2</v>
      </c>
      <c r="D381" s="13" t="s">
        <v>103</v>
      </c>
      <c r="E381" s="13">
        <v>23</v>
      </c>
      <c r="F381" s="13">
        <v>30</v>
      </c>
      <c r="G381" s="13">
        <v>7</v>
      </c>
      <c r="H381" s="13">
        <v>405000</v>
      </c>
      <c r="I381" s="13">
        <v>32400</v>
      </c>
      <c r="J381" s="13">
        <v>8209.4329593602797</v>
      </c>
      <c r="K381" s="13">
        <v>28350</v>
      </c>
      <c r="L381" s="13">
        <v>473959.43295936001</v>
      </c>
      <c r="M381" s="13">
        <v>1181.25</v>
      </c>
      <c r="N381" s="13">
        <v>2598.75</v>
      </c>
      <c r="O381" s="13">
        <v>350</v>
      </c>
      <c r="P381" s="13">
        <v>280</v>
      </c>
      <c r="Q381" s="13">
        <v>4410</v>
      </c>
      <c r="R381" s="13">
        <v>4050</v>
      </c>
      <c r="S381" s="13">
        <v>4739.5943295936004</v>
      </c>
      <c r="T381" s="13">
        <v>12150</v>
      </c>
      <c r="U381" s="13">
        <v>14218.7829887808</v>
      </c>
      <c r="V381" s="15">
        <f t="shared" si="13"/>
        <v>68959.432959360012</v>
      </c>
    </row>
    <row r="382" spans="1:22" x14ac:dyDescent="0.2">
      <c r="A382" s="13">
        <v>170</v>
      </c>
      <c r="B382" s="13" t="s">
        <v>136</v>
      </c>
      <c r="C382" s="13">
        <v>2</v>
      </c>
      <c r="D382" s="13" t="s">
        <v>102</v>
      </c>
      <c r="E382" s="13">
        <v>24</v>
      </c>
      <c r="F382" s="13">
        <v>30</v>
      </c>
      <c r="G382" s="13">
        <v>6</v>
      </c>
      <c r="H382" s="13">
        <v>305000</v>
      </c>
      <c r="I382" s="13">
        <v>30500</v>
      </c>
      <c r="J382" s="13">
        <v>4541.1927353126903</v>
      </c>
      <c r="K382" s="13">
        <v>27450</v>
      </c>
      <c r="L382" s="13">
        <v>367491.19273531198</v>
      </c>
      <c r="M382" s="13">
        <v>762.5</v>
      </c>
      <c r="N382" s="13">
        <v>1677.5</v>
      </c>
      <c r="O382" s="13">
        <v>300</v>
      </c>
      <c r="P382" s="13">
        <v>240</v>
      </c>
      <c r="Q382" s="13">
        <v>2980</v>
      </c>
      <c r="R382" s="13">
        <v>3050</v>
      </c>
      <c r="S382" s="13">
        <v>3674.9119273531201</v>
      </c>
      <c r="T382" s="13">
        <v>9150</v>
      </c>
      <c r="U382" s="13">
        <v>11024.735782059301</v>
      </c>
      <c r="V382" s="15">
        <f t="shared" si="13"/>
        <v>62491.192735311983</v>
      </c>
    </row>
    <row r="383" spans="1:22" x14ac:dyDescent="0.2">
      <c r="A383" s="13">
        <v>171</v>
      </c>
      <c r="B383" s="13" t="s">
        <v>136</v>
      </c>
      <c r="C383" s="13">
        <v>2</v>
      </c>
      <c r="D383" s="13" t="s">
        <v>102</v>
      </c>
      <c r="E383" s="13">
        <v>24</v>
      </c>
      <c r="F383" s="13">
        <v>30</v>
      </c>
      <c r="G383" s="13">
        <v>6</v>
      </c>
      <c r="H383" s="13">
        <v>305000</v>
      </c>
      <c r="I383" s="13">
        <v>30500</v>
      </c>
      <c r="J383" s="13">
        <v>4541.1927353126903</v>
      </c>
      <c r="K383" s="13">
        <v>27450</v>
      </c>
      <c r="L383" s="13">
        <v>367491.19273531198</v>
      </c>
      <c r="M383" s="13">
        <v>762.5</v>
      </c>
      <c r="N383" s="13">
        <v>1677.5</v>
      </c>
      <c r="O383" s="13">
        <v>300</v>
      </c>
      <c r="P383" s="13">
        <v>240</v>
      </c>
      <c r="Q383" s="13">
        <v>2980</v>
      </c>
      <c r="R383" s="13">
        <v>3050</v>
      </c>
      <c r="S383" s="13">
        <v>3674.9119273531201</v>
      </c>
      <c r="T383" s="13">
        <v>9150</v>
      </c>
      <c r="U383" s="13">
        <v>11024.735782059301</v>
      </c>
      <c r="V383" s="15">
        <f t="shared" si="13"/>
        <v>62491.192735311983</v>
      </c>
    </row>
    <row r="384" spans="1:22" x14ac:dyDescent="0.2">
      <c r="A384" s="13">
        <v>172</v>
      </c>
      <c r="B384" s="13" t="s">
        <v>136</v>
      </c>
      <c r="C384" s="13">
        <v>2</v>
      </c>
      <c r="D384" s="13" t="s">
        <v>102</v>
      </c>
      <c r="E384" s="13">
        <v>24</v>
      </c>
      <c r="F384" s="13">
        <v>30</v>
      </c>
      <c r="G384" s="13">
        <v>6</v>
      </c>
      <c r="H384" s="13">
        <v>305000</v>
      </c>
      <c r="I384" s="13">
        <v>30500</v>
      </c>
      <c r="J384" s="13">
        <v>4541.1927353126903</v>
      </c>
      <c r="K384" s="13">
        <v>27450</v>
      </c>
      <c r="L384" s="13">
        <v>367491.19273531198</v>
      </c>
      <c r="M384" s="13">
        <v>762.5</v>
      </c>
      <c r="N384" s="13">
        <v>1677.5</v>
      </c>
      <c r="O384" s="13">
        <v>300</v>
      </c>
      <c r="P384" s="13">
        <v>240</v>
      </c>
      <c r="Q384" s="13">
        <v>2980</v>
      </c>
      <c r="R384" s="13">
        <v>3050</v>
      </c>
      <c r="S384" s="13">
        <v>3674.9119273531201</v>
      </c>
      <c r="T384" s="13">
        <v>9150</v>
      </c>
      <c r="U384" s="13">
        <v>11024.735782059301</v>
      </c>
      <c r="V384" s="15">
        <f t="shared" si="13"/>
        <v>62491.192735311983</v>
      </c>
    </row>
    <row r="385" spans="1:22" x14ac:dyDescent="0.2">
      <c r="A385" s="13">
        <v>173</v>
      </c>
      <c r="B385" s="13" t="s">
        <v>136</v>
      </c>
      <c r="C385" s="13">
        <v>2</v>
      </c>
      <c r="D385" s="13" t="s">
        <v>102</v>
      </c>
      <c r="E385" s="13">
        <v>24</v>
      </c>
      <c r="F385" s="13">
        <v>30</v>
      </c>
      <c r="G385" s="13">
        <v>6</v>
      </c>
      <c r="H385" s="13">
        <v>305000</v>
      </c>
      <c r="I385" s="13">
        <v>30500</v>
      </c>
      <c r="J385" s="13">
        <v>4541.1927353126903</v>
      </c>
      <c r="K385" s="13">
        <v>27450</v>
      </c>
      <c r="L385" s="13">
        <v>367491.19273531198</v>
      </c>
      <c r="M385" s="13">
        <v>762.5</v>
      </c>
      <c r="N385" s="13">
        <v>1677.5</v>
      </c>
      <c r="O385" s="13">
        <v>300</v>
      </c>
      <c r="P385" s="13">
        <v>240</v>
      </c>
      <c r="Q385" s="13">
        <v>2980</v>
      </c>
      <c r="R385" s="13">
        <v>3050</v>
      </c>
      <c r="S385" s="13">
        <v>3674.9119273531201</v>
      </c>
      <c r="T385" s="13">
        <v>9150</v>
      </c>
      <c r="U385" s="13">
        <v>11024.735782059301</v>
      </c>
      <c r="V385" s="15">
        <f t="shared" si="13"/>
        <v>62491.192735311983</v>
      </c>
    </row>
    <row r="386" spans="1:22" x14ac:dyDescent="0.2">
      <c r="A386" s="13">
        <v>174</v>
      </c>
      <c r="B386" s="13" t="s">
        <v>136</v>
      </c>
      <c r="C386" s="13">
        <v>2</v>
      </c>
      <c r="D386" s="13" t="s">
        <v>102</v>
      </c>
      <c r="E386" s="13">
        <v>24</v>
      </c>
      <c r="F386" s="13">
        <v>30</v>
      </c>
      <c r="G386" s="13">
        <v>6</v>
      </c>
      <c r="H386" s="13">
        <v>305000</v>
      </c>
      <c r="I386" s="13">
        <v>30500</v>
      </c>
      <c r="J386" s="13">
        <v>4541.1927353126903</v>
      </c>
      <c r="K386" s="13">
        <v>27450</v>
      </c>
      <c r="L386" s="13">
        <v>367491.19273531198</v>
      </c>
      <c r="M386" s="13">
        <v>762.5</v>
      </c>
      <c r="N386" s="13">
        <v>1677.5</v>
      </c>
      <c r="O386" s="13">
        <v>300</v>
      </c>
      <c r="P386" s="13">
        <v>240</v>
      </c>
      <c r="Q386" s="13">
        <v>2980</v>
      </c>
      <c r="R386" s="13">
        <v>3050</v>
      </c>
      <c r="S386" s="13">
        <v>3674.9119273531201</v>
      </c>
      <c r="T386" s="13">
        <v>9150</v>
      </c>
      <c r="U386" s="13">
        <v>11024.735782059301</v>
      </c>
      <c r="V386" s="15">
        <f t="shared" si="13"/>
        <v>62491.192735311983</v>
      </c>
    </row>
    <row r="387" spans="1:22" x14ac:dyDescent="0.2">
      <c r="A387" s="13">
        <v>177</v>
      </c>
      <c r="B387" s="13" t="s">
        <v>136</v>
      </c>
      <c r="C387" s="13">
        <v>2</v>
      </c>
      <c r="D387" s="13" t="s">
        <v>103</v>
      </c>
      <c r="E387" s="13">
        <v>24</v>
      </c>
      <c r="F387" s="13">
        <v>30</v>
      </c>
      <c r="G387" s="13">
        <v>6</v>
      </c>
      <c r="H387" s="13">
        <v>405000</v>
      </c>
      <c r="I387" s="13">
        <v>32400</v>
      </c>
      <c r="J387" s="13">
        <v>7026.5464748600298</v>
      </c>
      <c r="K387" s="13">
        <v>28350</v>
      </c>
      <c r="L387" s="13">
        <v>472776.54647485999</v>
      </c>
      <c r="M387" s="13">
        <v>1012.5</v>
      </c>
      <c r="N387" s="13">
        <v>2227.5</v>
      </c>
      <c r="O387" s="13">
        <v>300</v>
      </c>
      <c r="P387" s="13">
        <v>240</v>
      </c>
      <c r="Q387" s="13">
        <v>3780</v>
      </c>
      <c r="R387" s="13">
        <v>4050</v>
      </c>
      <c r="S387" s="13">
        <v>4727.7654647485997</v>
      </c>
      <c r="T387" s="13">
        <v>12150</v>
      </c>
      <c r="U387" s="13">
        <v>14183.296394245799</v>
      </c>
      <c r="V387" s="15">
        <f t="shared" si="13"/>
        <v>67776.546474859992</v>
      </c>
    </row>
    <row r="388" spans="1:22" x14ac:dyDescent="0.2">
      <c r="V388" s="14">
        <f>SUM(V373:V387)</f>
        <v>1106842.9477889033</v>
      </c>
    </row>
    <row r="389" spans="1:22" x14ac:dyDescent="0.2">
      <c r="A389" s="13">
        <v>153</v>
      </c>
      <c r="B389" s="13" t="s">
        <v>136</v>
      </c>
      <c r="C389" s="13">
        <v>2</v>
      </c>
      <c r="D389" s="13" t="s">
        <v>104</v>
      </c>
      <c r="E389" s="13">
        <v>22</v>
      </c>
      <c r="F389" s="13">
        <v>31</v>
      </c>
      <c r="G389" s="13">
        <v>9</v>
      </c>
      <c r="H389" s="13">
        <v>630000</v>
      </c>
      <c r="I389" s="13">
        <v>37800</v>
      </c>
      <c r="J389" s="13">
        <v>18807.0404585287</v>
      </c>
      <c r="K389" s="13">
        <v>37800</v>
      </c>
      <c r="L389" s="13">
        <v>724407.04045852798</v>
      </c>
      <c r="M389" s="13">
        <v>2362.5</v>
      </c>
      <c r="N389" s="13">
        <v>5197.5</v>
      </c>
      <c r="O389" s="13">
        <v>450</v>
      </c>
      <c r="P389" s="13">
        <v>360</v>
      </c>
      <c r="Q389" s="13">
        <v>8370</v>
      </c>
      <c r="R389" s="13">
        <v>6300</v>
      </c>
      <c r="S389" s="13">
        <v>7244.0704045852799</v>
      </c>
      <c r="T389" s="13">
        <v>18900</v>
      </c>
      <c r="U389" s="13">
        <v>21732.2112137558</v>
      </c>
      <c r="V389" s="15">
        <f>L389-H389</f>
        <v>94407.040458527976</v>
      </c>
    </row>
    <row r="390" spans="1:22" x14ac:dyDescent="0.2">
      <c r="A390" s="13">
        <v>175</v>
      </c>
      <c r="B390" s="13" t="s">
        <v>136</v>
      </c>
      <c r="C390" s="13">
        <v>2</v>
      </c>
      <c r="D390" s="13" t="s">
        <v>103</v>
      </c>
      <c r="E390" s="13">
        <v>24</v>
      </c>
      <c r="F390" s="13">
        <v>31</v>
      </c>
      <c r="G390" s="13">
        <v>7</v>
      </c>
      <c r="H390" s="13">
        <v>405000</v>
      </c>
      <c r="I390" s="13">
        <v>32400</v>
      </c>
      <c r="J390" s="13">
        <v>8209.4329593602797</v>
      </c>
      <c r="K390" s="13">
        <v>28350</v>
      </c>
      <c r="L390" s="13">
        <v>473959.43295936001</v>
      </c>
      <c r="M390" s="13">
        <v>1181.25</v>
      </c>
      <c r="N390" s="13">
        <v>2598.75</v>
      </c>
      <c r="O390" s="13">
        <v>350</v>
      </c>
      <c r="P390" s="13">
        <v>280</v>
      </c>
      <c r="Q390" s="13">
        <v>4410</v>
      </c>
      <c r="R390" s="13">
        <v>4050</v>
      </c>
      <c r="S390" s="13">
        <v>4739.5943295936004</v>
      </c>
      <c r="T390" s="13">
        <v>12150</v>
      </c>
      <c r="U390" s="13">
        <v>14218.7829887808</v>
      </c>
      <c r="V390" s="15">
        <f>L390-H390</f>
        <v>68959.432959360012</v>
      </c>
    </row>
    <row r="391" spans="1:22" x14ac:dyDescent="0.2">
      <c r="A391" s="13">
        <v>176</v>
      </c>
      <c r="B391" s="13" t="s">
        <v>136</v>
      </c>
      <c r="C391" s="13">
        <v>2</v>
      </c>
      <c r="D391" s="13" t="s">
        <v>103</v>
      </c>
      <c r="E391" s="13">
        <v>24</v>
      </c>
      <c r="F391" s="13">
        <v>31</v>
      </c>
      <c r="G391" s="13">
        <v>7</v>
      </c>
      <c r="H391" s="13">
        <v>405000</v>
      </c>
      <c r="I391" s="13">
        <v>32400</v>
      </c>
      <c r="J391" s="13">
        <v>8209.4329593602797</v>
      </c>
      <c r="K391" s="13">
        <v>28350</v>
      </c>
      <c r="L391" s="13">
        <v>473959.43295936001</v>
      </c>
      <c r="M391" s="13">
        <v>1181.25</v>
      </c>
      <c r="N391" s="13">
        <v>2598.75</v>
      </c>
      <c r="O391" s="13">
        <v>350</v>
      </c>
      <c r="P391" s="13">
        <v>280</v>
      </c>
      <c r="Q391" s="13">
        <v>4410</v>
      </c>
      <c r="R391" s="13">
        <v>4050</v>
      </c>
      <c r="S391" s="13">
        <v>4739.5943295936004</v>
      </c>
      <c r="T391" s="13">
        <v>12150</v>
      </c>
      <c r="U391" s="13">
        <v>14218.7829887808</v>
      </c>
      <c r="V391" s="15">
        <f>L391-H391</f>
        <v>68959.432959360012</v>
      </c>
    </row>
    <row r="392" spans="1:22" x14ac:dyDescent="0.2">
      <c r="A392" s="13">
        <v>178</v>
      </c>
      <c r="B392" s="13" t="s">
        <v>136</v>
      </c>
      <c r="C392" s="13">
        <v>2</v>
      </c>
      <c r="D392" s="13" t="s">
        <v>103</v>
      </c>
      <c r="E392" s="13">
        <v>24</v>
      </c>
      <c r="F392" s="13">
        <v>31</v>
      </c>
      <c r="G392" s="13">
        <v>7</v>
      </c>
      <c r="H392" s="13">
        <v>405000</v>
      </c>
      <c r="I392" s="13">
        <v>32400</v>
      </c>
      <c r="J392" s="13">
        <v>8209.4329593602797</v>
      </c>
      <c r="K392" s="13">
        <v>28350</v>
      </c>
      <c r="L392" s="13">
        <v>473959.43295936001</v>
      </c>
      <c r="M392" s="13">
        <v>1181.25</v>
      </c>
      <c r="N392" s="13">
        <v>2598.75</v>
      </c>
      <c r="O392" s="13">
        <v>350</v>
      </c>
      <c r="P392" s="13">
        <v>280</v>
      </c>
      <c r="Q392" s="13">
        <v>4410</v>
      </c>
      <c r="R392" s="13">
        <v>4050</v>
      </c>
      <c r="S392" s="13">
        <v>4739.5943295936004</v>
      </c>
      <c r="T392" s="13">
        <v>12150</v>
      </c>
      <c r="U392" s="13">
        <v>14218.7829887808</v>
      </c>
      <c r="V392" s="15">
        <f>L392-H392</f>
        <v>68959.432959360012</v>
      </c>
    </row>
    <row r="393" spans="1:22" x14ac:dyDescent="0.2">
      <c r="A393" s="13">
        <v>179</v>
      </c>
      <c r="B393" s="13" t="s">
        <v>136</v>
      </c>
      <c r="C393" s="13">
        <v>2</v>
      </c>
      <c r="D393" s="13" t="s">
        <v>103</v>
      </c>
      <c r="E393" s="13">
        <v>24</v>
      </c>
      <c r="F393" s="13">
        <v>31</v>
      </c>
      <c r="G393" s="13">
        <v>7</v>
      </c>
      <c r="H393" s="13">
        <v>405000</v>
      </c>
      <c r="I393" s="13">
        <v>32400</v>
      </c>
      <c r="J393" s="13">
        <v>8209.4329593602797</v>
      </c>
      <c r="K393" s="13">
        <v>28350</v>
      </c>
      <c r="L393" s="13">
        <v>473959.43295936001</v>
      </c>
      <c r="M393" s="13">
        <v>1181.25</v>
      </c>
      <c r="N393" s="13">
        <v>2598.75</v>
      </c>
      <c r="O393" s="13">
        <v>350</v>
      </c>
      <c r="P393" s="13">
        <v>280</v>
      </c>
      <c r="Q393" s="13">
        <v>4410</v>
      </c>
      <c r="R393" s="13">
        <v>4050</v>
      </c>
      <c r="S393" s="13">
        <v>4739.5943295936004</v>
      </c>
      <c r="T393" s="13">
        <v>12150</v>
      </c>
      <c r="U393" s="13">
        <v>14218.7829887808</v>
      </c>
      <c r="V393" s="15">
        <f>L393-H393</f>
        <v>68959.432959360012</v>
      </c>
    </row>
    <row r="394" spans="1:22" x14ac:dyDescent="0.2">
      <c r="V394" s="15">
        <f>SUM(V389:V393)</f>
        <v>370244.77229596802</v>
      </c>
    </row>
    <row r="395" spans="1:22" x14ac:dyDescent="0.2">
      <c r="A395" s="13">
        <v>168</v>
      </c>
      <c r="B395" s="13" t="s">
        <v>136</v>
      </c>
      <c r="C395" s="13">
        <v>2</v>
      </c>
      <c r="D395" s="13" t="s">
        <v>104</v>
      </c>
      <c r="E395" s="13">
        <v>23</v>
      </c>
      <c r="F395" s="13">
        <v>32</v>
      </c>
      <c r="G395" s="13">
        <v>9</v>
      </c>
      <c r="H395" s="13">
        <v>630000</v>
      </c>
      <c r="I395" s="13">
        <v>37800</v>
      </c>
      <c r="J395" s="13">
        <v>18807.0404585287</v>
      </c>
      <c r="K395" s="13">
        <v>37800</v>
      </c>
      <c r="L395" s="13">
        <v>724407.04045852798</v>
      </c>
      <c r="M395" s="13">
        <v>2362.5</v>
      </c>
      <c r="N395" s="13">
        <v>5197.5</v>
      </c>
      <c r="O395" s="13">
        <v>450</v>
      </c>
      <c r="P395" s="13">
        <v>360</v>
      </c>
      <c r="Q395" s="13">
        <v>8370</v>
      </c>
      <c r="R395" s="13">
        <v>6300</v>
      </c>
      <c r="S395" s="13">
        <v>7244.0704045852799</v>
      </c>
      <c r="T395" s="13">
        <v>18900</v>
      </c>
      <c r="U395" s="13">
        <v>21732.2112137558</v>
      </c>
      <c r="V395" s="15">
        <f>L395-H395</f>
        <v>94407.040458527976</v>
      </c>
    </row>
    <row r="396" spans="1:22" x14ac:dyDescent="0.2">
      <c r="V396" s="15">
        <v>94407.040458527976</v>
      </c>
    </row>
    <row r="397" spans="1:22" x14ac:dyDescent="0.2">
      <c r="A397" s="13">
        <v>180</v>
      </c>
      <c r="B397" s="13" t="s">
        <v>136</v>
      </c>
      <c r="C397" s="13">
        <v>2</v>
      </c>
      <c r="D397" s="13" t="s">
        <v>104</v>
      </c>
      <c r="E397" s="13">
        <v>24</v>
      </c>
      <c r="F397" s="13">
        <v>33</v>
      </c>
      <c r="G397" s="13">
        <v>9</v>
      </c>
      <c r="H397" s="13">
        <v>630000</v>
      </c>
      <c r="I397" s="13">
        <v>37800</v>
      </c>
      <c r="J397" s="13">
        <v>18807.0404585287</v>
      </c>
      <c r="K397" s="13">
        <v>37800</v>
      </c>
      <c r="L397" s="13">
        <v>724407.04045852798</v>
      </c>
      <c r="M397" s="13">
        <v>2362.5</v>
      </c>
      <c r="N397" s="13">
        <v>5197.5</v>
      </c>
      <c r="O397" s="13">
        <v>450</v>
      </c>
      <c r="P397" s="13">
        <v>360</v>
      </c>
      <c r="Q397" s="13">
        <v>8370</v>
      </c>
      <c r="R397" s="13">
        <v>6300</v>
      </c>
      <c r="S397" s="13">
        <v>7244.0704045852799</v>
      </c>
      <c r="T397" s="13">
        <v>18900</v>
      </c>
      <c r="U397" s="13">
        <v>21732.2112137558</v>
      </c>
      <c r="V397" s="15">
        <f>L397-H397</f>
        <v>94407.040458527976</v>
      </c>
    </row>
    <row r="398" spans="1:22" x14ac:dyDescent="0.2">
      <c r="V398" s="14">
        <v>94407.040458527976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opLeftCell="B1" zoomScale="125" zoomScaleNormal="179" workbookViewId="0">
      <selection activeCell="D18" sqref="D18"/>
    </sheetView>
  </sheetViews>
  <sheetFormatPr baseColWidth="10" defaultColWidth="8.83203125" defaultRowHeight="15" x14ac:dyDescent="0.2"/>
  <cols>
    <col min="1" max="1" width="42" customWidth="1"/>
    <col min="2" max="2" width="27.6640625" customWidth="1"/>
    <col min="3" max="3" width="60.6640625" customWidth="1"/>
    <col min="4" max="4" width="67.33203125" customWidth="1"/>
    <col min="5" max="5" width="40.1640625" customWidth="1"/>
    <col min="6" max="6" width="47" customWidth="1"/>
    <col min="7" max="7" width="90.6640625" customWidth="1"/>
    <col min="8" max="8" width="10.6640625" bestFit="1" customWidth="1"/>
    <col min="10" max="10" width="30.83203125" customWidth="1"/>
    <col min="11" max="11" width="18.5" customWidth="1"/>
    <col min="12" max="12" width="48.6640625" customWidth="1"/>
  </cols>
  <sheetData>
    <row r="1" spans="1:7" x14ac:dyDescent="0.2">
      <c r="A1" s="1" t="s">
        <v>0</v>
      </c>
      <c r="B1" s="1" t="s">
        <v>1</v>
      </c>
      <c r="C1" s="1" t="s">
        <v>2</v>
      </c>
    </row>
    <row r="2" spans="1:7" x14ac:dyDescent="0.2">
      <c r="A2" t="s">
        <v>3</v>
      </c>
    </row>
    <row r="3" spans="1:7" x14ac:dyDescent="0.2">
      <c r="A3" t="s">
        <v>4</v>
      </c>
      <c r="B3">
        <v>2025</v>
      </c>
      <c r="C3" t="s">
        <v>16</v>
      </c>
    </row>
    <row r="4" spans="1:7" x14ac:dyDescent="0.2">
      <c r="A4" t="s">
        <v>5</v>
      </c>
      <c r="B4" s="3">
        <v>500000000</v>
      </c>
      <c r="C4" t="s">
        <v>17</v>
      </c>
    </row>
    <row r="5" spans="1:7" x14ac:dyDescent="0.2">
      <c r="A5" t="s">
        <v>6</v>
      </c>
    </row>
    <row r="6" spans="1:7" x14ac:dyDescent="0.2">
      <c r="A6" t="s">
        <v>7</v>
      </c>
      <c r="B6">
        <v>300</v>
      </c>
      <c r="C6" t="s">
        <v>18</v>
      </c>
    </row>
    <row r="7" spans="1:7" x14ac:dyDescent="0.2">
      <c r="A7" t="s">
        <v>8</v>
      </c>
      <c r="G7" s="3" t="e">
        <f>400*#REF!-B4</f>
        <v>#REF!</v>
      </c>
    </row>
    <row r="8" spans="1:7" x14ac:dyDescent="0.2">
      <c r="A8" t="s">
        <v>9</v>
      </c>
      <c r="B8">
        <v>3000</v>
      </c>
      <c r="C8" t="s">
        <v>19</v>
      </c>
    </row>
    <row r="9" spans="1:7" x14ac:dyDescent="0.2">
      <c r="A9" t="s">
        <v>10</v>
      </c>
      <c r="B9">
        <v>25</v>
      </c>
      <c r="C9" t="s">
        <v>20</v>
      </c>
    </row>
    <row r="10" spans="1:7" x14ac:dyDescent="0.2">
      <c r="A10" t="s">
        <v>11</v>
      </c>
      <c r="B10">
        <v>1.5</v>
      </c>
      <c r="C10" t="s">
        <v>21</v>
      </c>
    </row>
    <row r="11" spans="1:7" x14ac:dyDescent="0.2">
      <c r="A11" t="s">
        <v>12</v>
      </c>
      <c r="B11">
        <v>0.1</v>
      </c>
      <c r="C11" t="s">
        <v>22</v>
      </c>
    </row>
    <row r="12" spans="1:7" x14ac:dyDescent="0.2">
      <c r="A12" t="s">
        <v>13</v>
      </c>
    </row>
    <row r="13" spans="1:7" x14ac:dyDescent="0.2">
      <c r="A13" t="s">
        <v>14</v>
      </c>
    </row>
    <row r="14" spans="1:7" x14ac:dyDescent="0.2">
      <c r="A14" t="s">
        <v>15</v>
      </c>
      <c r="B14">
        <v>0.21</v>
      </c>
      <c r="C14" t="s">
        <v>23</v>
      </c>
    </row>
    <row r="15" spans="1:7" x14ac:dyDescent="0.2">
      <c r="A15" t="s">
        <v>41</v>
      </c>
    </row>
    <row r="16" spans="1:7" x14ac:dyDescent="0.2">
      <c r="A16" t="s">
        <v>42</v>
      </c>
      <c r="B16" s="3">
        <f>(E60+E61)/12</f>
        <v>6476</v>
      </c>
      <c r="C16" s="3">
        <f>B16*12</f>
        <v>77712</v>
      </c>
    </row>
    <row r="17" spans="1:6" ht="16" x14ac:dyDescent="0.2">
      <c r="A17" s="4" t="s">
        <v>43</v>
      </c>
      <c r="B17" s="3">
        <f>1000</f>
        <v>1000</v>
      </c>
      <c r="C17" s="3">
        <v>4000</v>
      </c>
      <c r="D17" s="7" t="s">
        <v>247</v>
      </c>
    </row>
    <row r="24" spans="1:6" x14ac:dyDescent="0.2">
      <c r="C24" s="12" t="s">
        <v>109</v>
      </c>
    </row>
    <row r="28" spans="1:6" x14ac:dyDescent="0.2">
      <c r="A28" s="7" t="s">
        <v>59</v>
      </c>
      <c r="B28" s="7" t="s">
        <v>60</v>
      </c>
      <c r="C28" s="7" t="s">
        <v>61</v>
      </c>
      <c r="D28" s="7" t="s">
        <v>62</v>
      </c>
      <c r="E28" s="7" t="s">
        <v>63</v>
      </c>
      <c r="F28" s="7" t="s">
        <v>2</v>
      </c>
    </row>
    <row r="29" spans="1:6" x14ac:dyDescent="0.2">
      <c r="A29" t="s">
        <v>64</v>
      </c>
      <c r="B29">
        <v>3</v>
      </c>
      <c r="C29" s="8">
        <v>50000</v>
      </c>
      <c r="D29" s="8">
        <v>12500</v>
      </c>
      <c r="E29" s="9">
        <v>37500</v>
      </c>
      <c r="F29" t="s">
        <v>65</v>
      </c>
    </row>
    <row r="30" spans="1:6" x14ac:dyDescent="0.2">
      <c r="A30" t="s">
        <v>66</v>
      </c>
      <c r="B30">
        <v>2</v>
      </c>
      <c r="C30" s="8">
        <v>70000</v>
      </c>
      <c r="D30" s="8">
        <v>11666</v>
      </c>
      <c r="E30" s="9">
        <v>23332</v>
      </c>
      <c r="F30" t="s">
        <v>67</v>
      </c>
    </row>
    <row r="31" spans="1:6" x14ac:dyDescent="0.2">
      <c r="A31" t="s">
        <v>68</v>
      </c>
      <c r="B31">
        <v>2</v>
      </c>
      <c r="C31" s="8">
        <v>60000</v>
      </c>
      <c r="D31" s="8">
        <v>10000</v>
      </c>
      <c r="E31" s="9">
        <v>20000</v>
      </c>
      <c r="F31" t="s">
        <v>69</v>
      </c>
    </row>
    <row r="32" spans="1:6" x14ac:dyDescent="0.2">
      <c r="A32" t="s">
        <v>70</v>
      </c>
      <c r="B32">
        <v>2</v>
      </c>
      <c r="C32" s="8">
        <v>80000</v>
      </c>
      <c r="D32" s="8">
        <v>13333</v>
      </c>
      <c r="E32" s="9">
        <v>26666</v>
      </c>
      <c r="F32" t="s">
        <v>71</v>
      </c>
    </row>
    <row r="33" spans="1:6" x14ac:dyDescent="0.2">
      <c r="A33" t="s">
        <v>72</v>
      </c>
      <c r="B33">
        <v>1</v>
      </c>
      <c r="C33" s="8">
        <v>95000</v>
      </c>
      <c r="D33" s="8">
        <v>7916</v>
      </c>
      <c r="E33" s="9">
        <v>7916</v>
      </c>
      <c r="F33" t="s">
        <v>73</v>
      </c>
    </row>
    <row r="34" spans="1:6" x14ac:dyDescent="0.2">
      <c r="A34" t="s">
        <v>74</v>
      </c>
      <c r="B34">
        <v>1</v>
      </c>
      <c r="C34" s="8">
        <v>120000</v>
      </c>
      <c r="D34" s="8">
        <v>10000</v>
      </c>
      <c r="E34" s="9">
        <v>10000</v>
      </c>
      <c r="F34" t="s">
        <v>75</v>
      </c>
    </row>
    <row r="35" spans="1:6" x14ac:dyDescent="0.2">
      <c r="A35" t="s">
        <v>76</v>
      </c>
      <c r="B35">
        <v>1</v>
      </c>
      <c r="C35" s="8">
        <v>85000</v>
      </c>
      <c r="D35" s="8">
        <v>7083</v>
      </c>
      <c r="E35" s="9">
        <v>7083</v>
      </c>
      <c r="F35" t="s">
        <v>77</v>
      </c>
    </row>
    <row r="36" spans="1:6" x14ac:dyDescent="0.2">
      <c r="A36" t="s">
        <v>78</v>
      </c>
      <c r="B36">
        <v>1</v>
      </c>
      <c r="C36" s="8">
        <v>150000</v>
      </c>
      <c r="D36" s="8">
        <v>12500</v>
      </c>
      <c r="E36" s="9">
        <v>12500</v>
      </c>
      <c r="F36" t="s">
        <v>79</v>
      </c>
    </row>
    <row r="37" spans="1:6" x14ac:dyDescent="0.2">
      <c r="D37" t="s">
        <v>172</v>
      </c>
      <c r="E37" s="8">
        <f>SUM(E29:E36)</f>
        <v>144997</v>
      </c>
    </row>
    <row r="38" spans="1:6" x14ac:dyDescent="0.2">
      <c r="C38" s="12" t="s">
        <v>110</v>
      </c>
    </row>
    <row r="41" spans="1:6" x14ac:dyDescent="0.2">
      <c r="A41" s="7"/>
      <c r="B41" s="7" t="s">
        <v>111</v>
      </c>
      <c r="C41" s="7" t="s">
        <v>112</v>
      </c>
    </row>
    <row r="42" spans="1:6" x14ac:dyDescent="0.2">
      <c r="A42" s="7" t="s">
        <v>115</v>
      </c>
      <c r="B42" s="8">
        <v>29</v>
      </c>
      <c r="C42" s="7" t="s">
        <v>113</v>
      </c>
    </row>
    <row r="43" spans="1:6" x14ac:dyDescent="0.2">
      <c r="A43" s="7" t="s">
        <v>116</v>
      </c>
      <c r="B43" s="8">
        <v>44</v>
      </c>
      <c r="C43" s="7" t="s">
        <v>114</v>
      </c>
    </row>
    <row r="49" spans="1:5" x14ac:dyDescent="0.2">
      <c r="A49" s="7" t="s">
        <v>117</v>
      </c>
      <c r="B49" s="7" t="s">
        <v>118</v>
      </c>
    </row>
    <row r="50" spans="1:5" x14ac:dyDescent="0.2">
      <c r="A50" t="s">
        <v>119</v>
      </c>
      <c r="B50" s="8">
        <v>200</v>
      </c>
    </row>
    <row r="51" spans="1:5" x14ac:dyDescent="0.2">
      <c r="A51" t="s">
        <v>120</v>
      </c>
      <c r="B51" s="8">
        <v>120</v>
      </c>
    </row>
    <row r="52" spans="1:5" x14ac:dyDescent="0.2">
      <c r="A52" t="s">
        <v>121</v>
      </c>
      <c r="B52" s="8">
        <v>150</v>
      </c>
    </row>
    <row r="53" spans="1:5" x14ac:dyDescent="0.2">
      <c r="A53" t="s">
        <v>122</v>
      </c>
      <c r="B53" s="8">
        <v>50</v>
      </c>
    </row>
    <row r="54" spans="1:5" x14ac:dyDescent="0.2">
      <c r="A54" t="s">
        <v>123</v>
      </c>
      <c r="B54" s="8">
        <v>75</v>
      </c>
    </row>
    <row r="55" spans="1:5" x14ac:dyDescent="0.2">
      <c r="A55" t="s">
        <v>124</v>
      </c>
      <c r="B55" s="8">
        <v>60</v>
      </c>
    </row>
    <row r="56" spans="1:5" x14ac:dyDescent="0.2">
      <c r="A56" t="s">
        <v>125</v>
      </c>
      <c r="B56" s="8">
        <v>150</v>
      </c>
    </row>
    <row r="57" spans="1:5" x14ac:dyDescent="0.2">
      <c r="A57" s="7" t="s">
        <v>126</v>
      </c>
      <c r="B57" s="7" t="s">
        <v>127</v>
      </c>
    </row>
    <row r="58" spans="1:5" x14ac:dyDescent="0.2">
      <c r="A58" s="7"/>
      <c r="B58" s="7"/>
    </row>
    <row r="59" spans="1:5" x14ac:dyDescent="0.2">
      <c r="A59" s="7" t="s">
        <v>131</v>
      </c>
      <c r="B59" s="7" t="s">
        <v>128</v>
      </c>
      <c r="C59" s="7" t="s">
        <v>129</v>
      </c>
      <c r="D59" s="7" t="s">
        <v>132</v>
      </c>
      <c r="E59" s="7" t="s">
        <v>135</v>
      </c>
    </row>
    <row r="60" spans="1:5" x14ac:dyDescent="0.2">
      <c r="A60" s="7" t="s">
        <v>133</v>
      </c>
      <c r="B60" s="8">
        <v>1933</v>
      </c>
      <c r="C60" s="8">
        <v>805</v>
      </c>
      <c r="D60" s="9">
        <v>2738</v>
      </c>
      <c r="E60" s="8">
        <f>D60*12</f>
        <v>32856</v>
      </c>
    </row>
    <row r="61" spans="1:5" x14ac:dyDescent="0.2">
      <c r="A61" s="7" t="s">
        <v>134</v>
      </c>
      <c r="B61" s="8">
        <v>2933</v>
      </c>
      <c r="C61" s="8">
        <v>805</v>
      </c>
      <c r="D61" s="9">
        <v>3738</v>
      </c>
      <c r="E61" s="8">
        <f>D61*12</f>
        <v>44856</v>
      </c>
    </row>
    <row r="63" spans="1:5" x14ac:dyDescent="0.2">
      <c r="A63" s="7"/>
      <c r="B63" s="7"/>
      <c r="C63" s="12" t="s">
        <v>141</v>
      </c>
      <c r="D63" s="7"/>
    </row>
    <row r="64" spans="1:5" x14ac:dyDescent="0.2">
      <c r="A64" s="7" t="s">
        <v>137</v>
      </c>
    </row>
    <row r="66" spans="1:13" x14ac:dyDescent="0.2">
      <c r="A66" s="7" t="s">
        <v>44</v>
      </c>
      <c r="B66" s="7" t="s">
        <v>107</v>
      </c>
      <c r="C66" s="7" t="s">
        <v>188</v>
      </c>
      <c r="D66" s="7" t="s">
        <v>190</v>
      </c>
      <c r="E66" s="7" t="s">
        <v>192</v>
      </c>
      <c r="F66" s="7" t="s">
        <v>108</v>
      </c>
      <c r="G66" s="7"/>
      <c r="H66" s="7" t="s">
        <v>138</v>
      </c>
      <c r="J66" s="7" t="s">
        <v>105</v>
      </c>
      <c r="K66" s="7" t="s">
        <v>197</v>
      </c>
      <c r="L66" s="7" t="s">
        <v>2</v>
      </c>
    </row>
    <row r="67" spans="1:13" x14ac:dyDescent="0.2">
      <c r="A67" s="7" t="s">
        <v>24</v>
      </c>
      <c r="B67" s="8">
        <v>25000</v>
      </c>
      <c r="C67" s="8">
        <v>15000</v>
      </c>
      <c r="D67" s="8">
        <v>10000</v>
      </c>
      <c r="E67" s="8">
        <v>3000</v>
      </c>
      <c r="F67" s="8">
        <v>100000</v>
      </c>
      <c r="G67" s="8"/>
      <c r="H67" s="9">
        <v>153000</v>
      </c>
      <c r="J67" s="7" t="s">
        <v>107</v>
      </c>
      <c r="K67" s="8">
        <v>25000</v>
      </c>
      <c r="L67" t="s">
        <v>187</v>
      </c>
    </row>
    <row r="68" spans="1:13" x14ac:dyDescent="0.2">
      <c r="A68" s="7" t="s">
        <v>25</v>
      </c>
      <c r="B68" s="8">
        <v>25000</v>
      </c>
      <c r="C68" s="8">
        <v>15000</v>
      </c>
      <c r="D68" s="8"/>
      <c r="E68" s="8">
        <v>3000</v>
      </c>
      <c r="F68" s="8">
        <v>100000</v>
      </c>
      <c r="G68" s="8"/>
      <c r="H68" s="9">
        <v>153000</v>
      </c>
      <c r="J68" s="7" t="s">
        <v>188</v>
      </c>
      <c r="K68" s="8">
        <v>15000</v>
      </c>
      <c r="L68" t="s">
        <v>189</v>
      </c>
    </row>
    <row r="69" spans="1:13" x14ac:dyDescent="0.2">
      <c r="A69" s="7" t="s">
        <v>26</v>
      </c>
      <c r="B69" s="8">
        <v>25000</v>
      </c>
      <c r="C69" s="8">
        <v>15000</v>
      </c>
      <c r="D69" s="8">
        <v>10000</v>
      </c>
      <c r="E69" s="8">
        <v>3000</v>
      </c>
      <c r="F69" s="8">
        <v>100000</v>
      </c>
      <c r="G69" s="8"/>
      <c r="H69" s="9">
        <v>153000</v>
      </c>
      <c r="J69" s="7" t="s">
        <v>190</v>
      </c>
      <c r="K69" s="8">
        <v>10000</v>
      </c>
      <c r="L69" t="s">
        <v>191</v>
      </c>
    </row>
    <row r="70" spans="1:13" x14ac:dyDescent="0.2">
      <c r="A70" s="7" t="s">
        <v>27</v>
      </c>
      <c r="B70" s="8">
        <v>25000</v>
      </c>
      <c r="C70" s="8">
        <v>15000</v>
      </c>
      <c r="D70" s="8">
        <v>10000</v>
      </c>
      <c r="E70" s="8">
        <v>3000</v>
      </c>
      <c r="F70" s="8">
        <v>100000</v>
      </c>
      <c r="G70" s="8"/>
      <c r="H70" s="9">
        <v>153000</v>
      </c>
      <c r="J70" s="7" t="s">
        <v>192</v>
      </c>
      <c r="K70" s="8">
        <v>3000</v>
      </c>
      <c r="L70" t="s">
        <v>193</v>
      </c>
    </row>
    <row r="71" spans="1:13" x14ac:dyDescent="0.2">
      <c r="A71" s="7" t="s">
        <v>28</v>
      </c>
      <c r="B71" s="8">
        <v>25000</v>
      </c>
      <c r="C71" s="8">
        <v>15000</v>
      </c>
      <c r="D71" s="8">
        <v>10000</v>
      </c>
      <c r="E71" s="8">
        <v>3000</v>
      </c>
      <c r="F71" s="8">
        <v>100000</v>
      </c>
      <c r="G71" s="8"/>
      <c r="H71" s="9">
        <v>153000</v>
      </c>
      <c r="J71" s="7" t="s">
        <v>108</v>
      </c>
      <c r="K71" s="8">
        <v>100000</v>
      </c>
      <c r="L71" t="s">
        <v>194</v>
      </c>
    </row>
    <row r="72" spans="1:13" x14ac:dyDescent="0.2">
      <c r="A72" s="7" t="s">
        <v>29</v>
      </c>
      <c r="B72" s="8">
        <v>25000</v>
      </c>
      <c r="C72" s="8">
        <v>15000</v>
      </c>
      <c r="D72" s="8">
        <v>10000</v>
      </c>
      <c r="E72" s="8">
        <v>3000</v>
      </c>
      <c r="F72" s="8">
        <v>100000</v>
      </c>
      <c r="G72" s="8"/>
      <c r="H72" s="9">
        <v>153000</v>
      </c>
      <c r="J72" s="7" t="s">
        <v>195</v>
      </c>
      <c r="K72" s="9">
        <v>153000</v>
      </c>
      <c r="L72" t="s">
        <v>196</v>
      </c>
    </row>
    <row r="73" spans="1:13" x14ac:dyDescent="0.2">
      <c r="A73" s="7" t="s">
        <v>30</v>
      </c>
      <c r="B73" s="8">
        <v>25000</v>
      </c>
      <c r="C73" s="8">
        <v>15000</v>
      </c>
      <c r="D73" s="8">
        <v>10000</v>
      </c>
      <c r="E73" s="8">
        <v>3000</v>
      </c>
      <c r="F73" s="8">
        <v>100000</v>
      </c>
      <c r="G73" s="8"/>
      <c r="H73" s="9">
        <v>153000</v>
      </c>
      <c r="J73" s="7"/>
      <c r="K73" s="9"/>
    </row>
    <row r="74" spans="1:13" x14ac:dyDescent="0.2">
      <c r="A74" s="7" t="s">
        <v>31</v>
      </c>
      <c r="B74" s="8">
        <v>25000</v>
      </c>
      <c r="C74" s="8">
        <v>15000</v>
      </c>
      <c r="D74" s="8">
        <v>10000</v>
      </c>
      <c r="E74" s="8">
        <v>3000</v>
      </c>
      <c r="F74" s="8">
        <v>100000</v>
      </c>
      <c r="G74" s="8"/>
      <c r="H74" s="9">
        <v>153000</v>
      </c>
    </row>
    <row r="75" spans="1:13" x14ac:dyDescent="0.2">
      <c r="A75" s="7" t="s">
        <v>32</v>
      </c>
      <c r="B75" s="8">
        <v>25000</v>
      </c>
      <c r="C75" s="8">
        <v>15000</v>
      </c>
      <c r="D75" s="8">
        <v>10000</v>
      </c>
      <c r="E75" s="8">
        <v>3000</v>
      </c>
      <c r="F75" s="8">
        <v>100000</v>
      </c>
      <c r="G75" s="8"/>
      <c r="H75" s="9">
        <v>153000</v>
      </c>
      <c r="J75" s="7" t="s">
        <v>105</v>
      </c>
      <c r="K75" s="7" t="s">
        <v>186</v>
      </c>
      <c r="L75" s="7" t="s">
        <v>2</v>
      </c>
      <c r="M75" s="7"/>
    </row>
    <row r="76" spans="1:13" x14ac:dyDescent="0.2">
      <c r="A76" s="7" t="s">
        <v>33</v>
      </c>
      <c r="B76" s="8">
        <v>25000</v>
      </c>
      <c r="C76" s="8">
        <v>15000</v>
      </c>
      <c r="D76" s="8">
        <v>10000</v>
      </c>
      <c r="E76" s="8">
        <v>3000</v>
      </c>
      <c r="F76" s="8">
        <v>100000</v>
      </c>
      <c r="G76" s="8"/>
      <c r="H76" s="9">
        <v>153000</v>
      </c>
      <c r="J76" s="7" t="s">
        <v>107</v>
      </c>
      <c r="K76" s="8">
        <v>40000</v>
      </c>
      <c r="L76" t="s">
        <v>198</v>
      </c>
    </row>
    <row r="77" spans="1:13" x14ac:dyDescent="0.2">
      <c r="A77" s="7" t="s">
        <v>34</v>
      </c>
      <c r="B77" s="8">
        <v>25000</v>
      </c>
      <c r="C77" s="8">
        <v>15000</v>
      </c>
      <c r="D77" s="8">
        <v>10000</v>
      </c>
      <c r="E77" s="8">
        <v>3000</v>
      </c>
      <c r="F77" s="8">
        <v>100000</v>
      </c>
      <c r="G77" s="8"/>
      <c r="H77" s="9">
        <v>153000</v>
      </c>
      <c r="J77" s="7" t="s">
        <v>199</v>
      </c>
      <c r="K77" s="8">
        <v>30000</v>
      </c>
      <c r="L77" t="s">
        <v>200</v>
      </c>
    </row>
    <row r="78" spans="1:13" x14ac:dyDescent="0.2">
      <c r="A78" s="7" t="s">
        <v>35</v>
      </c>
      <c r="B78" s="8">
        <v>25000</v>
      </c>
      <c r="C78" s="8">
        <v>15000</v>
      </c>
      <c r="D78" s="8">
        <v>10000</v>
      </c>
      <c r="E78" s="8">
        <v>3000</v>
      </c>
      <c r="F78" s="8">
        <v>100000</v>
      </c>
      <c r="G78" s="8"/>
      <c r="H78" s="9">
        <v>153000</v>
      </c>
      <c r="J78" s="7" t="s">
        <v>190</v>
      </c>
      <c r="K78" s="8">
        <v>10000</v>
      </c>
      <c r="L78" t="s">
        <v>201</v>
      </c>
    </row>
    <row r="79" spans="1:13" x14ac:dyDescent="0.2">
      <c r="J79" s="7" t="s">
        <v>192</v>
      </c>
      <c r="K79" s="8">
        <v>5000</v>
      </c>
      <c r="L79" t="s">
        <v>202</v>
      </c>
    </row>
    <row r="80" spans="1:13" x14ac:dyDescent="0.2">
      <c r="G80" t="s">
        <v>185</v>
      </c>
      <c r="H80" s="8">
        <f>SUM(H67:H78)</f>
        <v>1836000</v>
      </c>
      <c r="J80" s="7" t="s">
        <v>108</v>
      </c>
      <c r="K80" s="8">
        <v>200000</v>
      </c>
      <c r="L80" t="s">
        <v>203</v>
      </c>
    </row>
    <row r="81" spans="1:12" x14ac:dyDescent="0.2">
      <c r="J81" s="7" t="s">
        <v>195</v>
      </c>
      <c r="K81" s="9">
        <v>285000</v>
      </c>
      <c r="L81" t="s">
        <v>204</v>
      </c>
    </row>
    <row r="82" spans="1:12" x14ac:dyDescent="0.2">
      <c r="A82" s="16" t="s">
        <v>139</v>
      </c>
    </row>
    <row r="84" spans="1:12" x14ac:dyDescent="0.2">
      <c r="A84" t="s">
        <v>140</v>
      </c>
    </row>
    <row r="86" spans="1:12" x14ac:dyDescent="0.2">
      <c r="A86" s="7" t="s">
        <v>44</v>
      </c>
      <c r="B86" s="7" t="s">
        <v>107</v>
      </c>
      <c r="C86" s="7" t="s">
        <v>188</v>
      </c>
      <c r="D86" s="7" t="s">
        <v>190</v>
      </c>
      <c r="E86" s="7" t="s">
        <v>192</v>
      </c>
      <c r="F86" s="7" t="s">
        <v>108</v>
      </c>
      <c r="G86" s="7"/>
      <c r="H86" s="7" t="s">
        <v>138</v>
      </c>
    </row>
    <row r="87" spans="1:12" x14ac:dyDescent="0.2">
      <c r="A87" t="s">
        <v>24</v>
      </c>
      <c r="B87" s="8">
        <v>40000</v>
      </c>
      <c r="C87" s="8">
        <v>30000</v>
      </c>
      <c r="D87" s="8">
        <v>10000</v>
      </c>
      <c r="E87" s="8">
        <v>5000</v>
      </c>
      <c r="F87" s="8">
        <v>200000</v>
      </c>
      <c r="G87" s="8"/>
      <c r="H87" s="8">
        <v>285000</v>
      </c>
    </row>
    <row r="88" spans="1:12" x14ac:dyDescent="0.2">
      <c r="A88" t="s">
        <v>25</v>
      </c>
      <c r="B88" s="8">
        <v>40000</v>
      </c>
      <c r="C88" s="8">
        <v>30000</v>
      </c>
      <c r="D88" s="8">
        <v>10000</v>
      </c>
      <c r="E88" s="8">
        <v>5000</v>
      </c>
      <c r="F88" s="8">
        <v>200000</v>
      </c>
      <c r="G88" s="8"/>
      <c r="H88" s="8">
        <v>285000</v>
      </c>
    </row>
    <row r="89" spans="1:12" x14ac:dyDescent="0.2">
      <c r="A89" t="s">
        <v>26</v>
      </c>
      <c r="B89" s="8">
        <v>40000</v>
      </c>
      <c r="C89" s="8">
        <v>30000</v>
      </c>
      <c r="D89" s="8">
        <v>10000</v>
      </c>
      <c r="E89" s="8">
        <v>5000</v>
      </c>
      <c r="F89" s="8">
        <v>200000</v>
      </c>
      <c r="G89" s="8"/>
      <c r="H89" s="8">
        <v>285000</v>
      </c>
    </row>
    <row r="90" spans="1:12" x14ac:dyDescent="0.2">
      <c r="A90" t="s">
        <v>27</v>
      </c>
      <c r="B90" s="8">
        <v>40000</v>
      </c>
      <c r="C90" s="8">
        <v>30000</v>
      </c>
      <c r="D90" s="8">
        <v>10000</v>
      </c>
      <c r="E90" s="8">
        <v>5000</v>
      </c>
      <c r="F90" s="8">
        <v>200000</v>
      </c>
      <c r="G90" s="8"/>
      <c r="H90" s="8">
        <v>285000</v>
      </c>
    </row>
    <row r="91" spans="1:12" x14ac:dyDescent="0.2">
      <c r="A91" t="s">
        <v>28</v>
      </c>
      <c r="B91" s="8">
        <v>40000</v>
      </c>
      <c r="C91" s="8">
        <v>30000</v>
      </c>
      <c r="D91" s="8">
        <v>10000</v>
      </c>
      <c r="E91" s="8">
        <v>5000</v>
      </c>
      <c r="F91" s="8">
        <v>200000</v>
      </c>
      <c r="G91" s="8"/>
      <c r="H91" s="8">
        <v>285000</v>
      </c>
    </row>
    <row r="92" spans="1:12" x14ac:dyDescent="0.2">
      <c r="A92" t="s">
        <v>29</v>
      </c>
      <c r="B92" s="8">
        <v>40000</v>
      </c>
      <c r="C92" s="8">
        <v>30000</v>
      </c>
      <c r="D92" s="8">
        <v>10000</v>
      </c>
      <c r="E92" s="8">
        <v>5000</v>
      </c>
      <c r="F92" s="8">
        <v>200000</v>
      </c>
      <c r="G92" s="8"/>
      <c r="H92" s="8">
        <v>285000</v>
      </c>
    </row>
    <row r="93" spans="1:12" x14ac:dyDescent="0.2">
      <c r="A93" t="s">
        <v>30</v>
      </c>
      <c r="B93" s="8">
        <v>40000</v>
      </c>
      <c r="C93" s="8">
        <v>30000</v>
      </c>
      <c r="D93" s="8">
        <v>10000</v>
      </c>
      <c r="E93" s="8">
        <v>5000</v>
      </c>
      <c r="F93" s="8">
        <v>200000</v>
      </c>
      <c r="G93" s="8"/>
      <c r="H93" s="8">
        <v>285000</v>
      </c>
    </row>
    <row r="94" spans="1:12" x14ac:dyDescent="0.2">
      <c r="A94" t="s">
        <v>31</v>
      </c>
      <c r="B94" s="8">
        <v>40000</v>
      </c>
      <c r="C94" s="8">
        <v>30000</v>
      </c>
      <c r="D94" s="8">
        <v>10000</v>
      </c>
      <c r="E94" s="8">
        <v>5000</v>
      </c>
      <c r="F94" s="8">
        <v>200000</v>
      </c>
      <c r="G94" s="8"/>
      <c r="H94" s="8">
        <v>285000</v>
      </c>
    </row>
    <row r="95" spans="1:12" x14ac:dyDescent="0.2">
      <c r="A95" t="s">
        <v>32</v>
      </c>
      <c r="B95" s="8">
        <v>40000</v>
      </c>
      <c r="C95" s="8">
        <v>30000</v>
      </c>
      <c r="D95" s="8">
        <v>10000</v>
      </c>
      <c r="E95" s="8">
        <v>5000</v>
      </c>
      <c r="F95" s="8">
        <v>200000</v>
      </c>
      <c r="G95" s="8"/>
      <c r="H95" s="8">
        <v>285000</v>
      </c>
    </row>
    <row r="96" spans="1:12" x14ac:dyDescent="0.2">
      <c r="A96" t="s">
        <v>33</v>
      </c>
      <c r="B96" s="8">
        <v>40000</v>
      </c>
      <c r="C96" s="8">
        <v>30000</v>
      </c>
      <c r="D96" s="8">
        <v>10000</v>
      </c>
      <c r="E96" s="8">
        <v>5000</v>
      </c>
      <c r="F96" s="8">
        <v>200000</v>
      </c>
      <c r="G96" s="8"/>
      <c r="H96" s="8">
        <v>285000</v>
      </c>
    </row>
    <row r="97" spans="1:8" x14ac:dyDescent="0.2">
      <c r="A97" t="s">
        <v>34</v>
      </c>
      <c r="B97" s="8">
        <v>40000</v>
      </c>
      <c r="C97" s="8">
        <v>30000</v>
      </c>
      <c r="D97" s="8">
        <v>10000</v>
      </c>
      <c r="E97" s="8">
        <v>5000</v>
      </c>
      <c r="F97" s="8">
        <v>200000</v>
      </c>
      <c r="G97" s="8"/>
      <c r="H97" s="8">
        <v>285000</v>
      </c>
    </row>
    <row r="98" spans="1:8" x14ac:dyDescent="0.2">
      <c r="A98" t="s">
        <v>35</v>
      </c>
      <c r="B98" s="8">
        <v>40000</v>
      </c>
      <c r="C98" s="8">
        <v>30000</v>
      </c>
      <c r="D98" s="8">
        <v>10000</v>
      </c>
      <c r="E98" s="8">
        <v>5000</v>
      </c>
      <c r="F98" s="8">
        <v>200000</v>
      </c>
      <c r="G98" s="8"/>
      <c r="H98" s="8">
        <v>285000</v>
      </c>
    </row>
    <row r="103" spans="1:8" x14ac:dyDescent="0.2">
      <c r="C103" s="12" t="s">
        <v>142</v>
      </c>
    </row>
    <row r="107" spans="1:8" ht="24" x14ac:dyDescent="0.3">
      <c r="A107" s="17" t="s">
        <v>147</v>
      </c>
    </row>
    <row r="109" spans="1:8" x14ac:dyDescent="0.2">
      <c r="A109" s="7" t="s">
        <v>143</v>
      </c>
      <c r="B109" s="7" t="s">
        <v>106</v>
      </c>
    </row>
    <row r="110" spans="1:8" x14ac:dyDescent="0.2">
      <c r="A110" t="s">
        <v>144</v>
      </c>
      <c r="B110" s="9">
        <v>150000</v>
      </c>
    </row>
    <row r="111" spans="1:8" x14ac:dyDescent="0.2">
      <c r="A111" t="s">
        <v>145</v>
      </c>
      <c r="B111" s="9">
        <v>48000</v>
      </c>
    </row>
    <row r="112" spans="1:8" x14ac:dyDescent="0.2">
      <c r="A112" s="7" t="s">
        <v>146</v>
      </c>
      <c r="B112" s="9">
        <v>198000</v>
      </c>
    </row>
    <row r="118" spans="1:7" ht="24" x14ac:dyDescent="0.3">
      <c r="A118" s="17" t="s">
        <v>151</v>
      </c>
    </row>
    <row r="120" spans="1:7" x14ac:dyDescent="0.2">
      <c r="A120" s="7" t="s">
        <v>143</v>
      </c>
      <c r="B120" s="7" t="s">
        <v>106</v>
      </c>
    </row>
    <row r="121" spans="1:7" x14ac:dyDescent="0.2">
      <c r="A121" t="s">
        <v>148</v>
      </c>
      <c r="B121" s="9">
        <v>40000</v>
      </c>
    </row>
    <row r="122" spans="1:7" x14ac:dyDescent="0.2">
      <c r="A122" t="s">
        <v>149</v>
      </c>
      <c r="B122" s="9">
        <v>60000</v>
      </c>
    </row>
    <row r="123" spans="1:7" x14ac:dyDescent="0.2">
      <c r="A123" s="7" t="s">
        <v>150</v>
      </c>
      <c r="B123" s="9">
        <v>130000</v>
      </c>
    </row>
    <row r="125" spans="1:7" x14ac:dyDescent="0.2">
      <c r="A125" s="7"/>
    </row>
    <row r="126" spans="1:7" x14ac:dyDescent="0.2">
      <c r="C126" s="12" t="s">
        <v>152</v>
      </c>
    </row>
    <row r="127" spans="1:7" x14ac:dyDescent="0.2">
      <c r="E127" s="2"/>
      <c r="F127" s="2"/>
      <c r="G127" s="2"/>
    </row>
    <row r="130" spans="1:7" x14ac:dyDescent="0.2">
      <c r="A130" s="7" t="s">
        <v>153</v>
      </c>
      <c r="B130" s="7" t="s">
        <v>154</v>
      </c>
      <c r="C130" s="7" t="s">
        <v>155</v>
      </c>
      <c r="D130" s="7" t="s">
        <v>156</v>
      </c>
      <c r="E130" s="2" t="s">
        <v>153</v>
      </c>
      <c r="F130" s="2" t="s">
        <v>155</v>
      </c>
      <c r="G130" s="2" t="s">
        <v>234</v>
      </c>
    </row>
    <row r="131" spans="1:7" x14ac:dyDescent="0.2">
      <c r="A131" s="7" t="s">
        <v>157</v>
      </c>
      <c r="B131" s="8">
        <v>2200</v>
      </c>
      <c r="C131" s="8">
        <v>500</v>
      </c>
      <c r="D131" t="s">
        <v>158</v>
      </c>
      <c r="E131" t="s">
        <v>235</v>
      </c>
      <c r="F131">
        <v>600</v>
      </c>
      <c r="G131" t="s">
        <v>236</v>
      </c>
    </row>
    <row r="132" spans="1:7" x14ac:dyDescent="0.2">
      <c r="A132" s="7" t="s">
        <v>159</v>
      </c>
      <c r="B132" s="8">
        <v>18000</v>
      </c>
      <c r="C132" s="8">
        <v>18900</v>
      </c>
      <c r="D132" t="s">
        <v>160</v>
      </c>
      <c r="E132" t="s">
        <v>159</v>
      </c>
      <c r="F132">
        <v>21000</v>
      </c>
      <c r="G132" t="s">
        <v>237</v>
      </c>
    </row>
    <row r="133" spans="1:7" x14ac:dyDescent="0.2">
      <c r="A133" s="7" t="s">
        <v>161</v>
      </c>
      <c r="B133" s="8">
        <v>9600</v>
      </c>
      <c r="C133" s="8">
        <v>9600</v>
      </c>
      <c r="D133" t="s">
        <v>162</v>
      </c>
      <c r="E133" t="s">
        <v>238</v>
      </c>
      <c r="F133">
        <v>18000</v>
      </c>
      <c r="G133" t="s">
        <v>239</v>
      </c>
    </row>
    <row r="134" spans="1:7" x14ac:dyDescent="0.2">
      <c r="A134" s="7" t="s">
        <v>163</v>
      </c>
      <c r="B134" s="8">
        <v>5000</v>
      </c>
      <c r="C134" s="8">
        <v>2000</v>
      </c>
      <c r="D134" t="s">
        <v>164</v>
      </c>
      <c r="E134" t="s">
        <v>240</v>
      </c>
      <c r="F134">
        <v>2500</v>
      </c>
      <c r="G134" t="s">
        <v>241</v>
      </c>
    </row>
    <row r="135" spans="1:7" x14ac:dyDescent="0.2">
      <c r="A135" s="7" t="s">
        <v>165</v>
      </c>
      <c r="B135" s="8">
        <v>4000</v>
      </c>
      <c r="C135" s="8">
        <v>4200</v>
      </c>
      <c r="D135" t="s">
        <v>166</v>
      </c>
      <c r="E135" t="s">
        <v>165</v>
      </c>
      <c r="F135">
        <v>5000</v>
      </c>
      <c r="G135" t="s">
        <v>242</v>
      </c>
    </row>
    <row r="136" spans="1:7" x14ac:dyDescent="0.2">
      <c r="A136" s="7" t="s">
        <v>167</v>
      </c>
      <c r="B136" s="8">
        <v>2000</v>
      </c>
      <c r="C136" s="8">
        <v>2000</v>
      </c>
      <c r="D136" t="s">
        <v>168</v>
      </c>
      <c r="E136" t="s">
        <v>243</v>
      </c>
      <c r="F136">
        <v>2000</v>
      </c>
      <c r="G136" t="s">
        <v>244</v>
      </c>
    </row>
    <row r="137" spans="1:7" x14ac:dyDescent="0.2">
      <c r="A137" s="7" t="s">
        <v>169</v>
      </c>
      <c r="B137" s="8">
        <v>36000</v>
      </c>
      <c r="C137" s="8">
        <v>37800</v>
      </c>
      <c r="D137" t="s">
        <v>170</v>
      </c>
      <c r="E137" t="s">
        <v>169</v>
      </c>
      <c r="F137">
        <v>40000</v>
      </c>
      <c r="G137" t="s">
        <v>245</v>
      </c>
    </row>
    <row r="138" spans="1:7" x14ac:dyDescent="0.2">
      <c r="A138" s="7" t="s">
        <v>171</v>
      </c>
      <c r="B138" s="9">
        <v>112800</v>
      </c>
      <c r="C138" s="9">
        <v>112800</v>
      </c>
    </row>
    <row r="139" spans="1:7" x14ac:dyDescent="0.2">
      <c r="F139">
        <f>SUM(F131:F137)</f>
        <v>89100</v>
      </c>
      <c r="G139">
        <f>89100/12</f>
        <v>7425</v>
      </c>
    </row>
    <row r="140" spans="1:7" ht="16" thickBot="1" x14ac:dyDescent="0.25"/>
    <row r="141" spans="1:7" ht="18" thickBot="1" x14ac:dyDescent="0.25">
      <c r="A141" s="19" t="s">
        <v>44</v>
      </c>
      <c r="B141" s="19" t="s">
        <v>205</v>
      </c>
      <c r="C141" s="19" t="s">
        <v>206</v>
      </c>
      <c r="D141" s="19" t="s">
        <v>207</v>
      </c>
      <c r="E141" s="19" t="s">
        <v>208</v>
      </c>
      <c r="F141" s="19"/>
      <c r="G141" s="19"/>
    </row>
    <row r="142" spans="1:7" ht="18" thickBot="1" x14ac:dyDescent="0.25">
      <c r="A142" s="20" t="s">
        <v>24</v>
      </c>
      <c r="B142" s="20">
        <v>600</v>
      </c>
      <c r="C142" s="20">
        <v>20</v>
      </c>
      <c r="D142" s="20">
        <v>20</v>
      </c>
      <c r="E142" s="21">
        <f>D142*20</f>
        <v>400</v>
      </c>
      <c r="F142" s="21"/>
      <c r="G142" s="20"/>
    </row>
    <row r="143" spans="1:7" ht="18" thickBot="1" x14ac:dyDescent="0.25">
      <c r="A143" s="20" t="s">
        <v>25</v>
      </c>
      <c r="B143" s="20">
        <v>700</v>
      </c>
      <c r="C143" s="20">
        <v>25</v>
      </c>
      <c r="D143" s="20">
        <v>45</v>
      </c>
      <c r="E143" s="21">
        <f t="shared" ref="E143:E152" si="0">D143*20</f>
        <v>900</v>
      </c>
      <c r="F143" s="21"/>
      <c r="G143" s="20"/>
    </row>
    <row r="144" spans="1:7" ht="18" thickBot="1" x14ac:dyDescent="0.25">
      <c r="A144" s="20" t="s">
        <v>26</v>
      </c>
      <c r="B144" s="20">
        <v>800</v>
      </c>
      <c r="C144" s="20">
        <v>30</v>
      </c>
      <c r="D144" s="20">
        <v>73</v>
      </c>
      <c r="E144" s="21">
        <f t="shared" si="0"/>
        <v>1460</v>
      </c>
      <c r="F144" s="21"/>
      <c r="G144" s="20"/>
    </row>
    <row r="145" spans="1:7" ht="18" thickBot="1" x14ac:dyDescent="0.25">
      <c r="A145" s="20" t="s">
        <v>27</v>
      </c>
      <c r="B145" s="20">
        <v>900</v>
      </c>
      <c r="C145" s="20">
        <v>40</v>
      </c>
      <c r="D145" s="20">
        <v>111</v>
      </c>
      <c r="E145" s="21">
        <f t="shared" si="0"/>
        <v>2220</v>
      </c>
      <c r="F145" s="21"/>
      <c r="G145" s="20"/>
    </row>
    <row r="146" spans="1:7" ht="18" thickBot="1" x14ac:dyDescent="0.25">
      <c r="A146" s="20" t="s">
        <v>28</v>
      </c>
      <c r="B146" s="23">
        <v>1000</v>
      </c>
      <c r="C146" s="20">
        <v>50</v>
      </c>
      <c r="D146" s="20">
        <v>157</v>
      </c>
      <c r="E146" s="21">
        <f t="shared" si="0"/>
        <v>3140</v>
      </c>
      <c r="F146" s="21"/>
      <c r="G146" s="20"/>
    </row>
    <row r="147" spans="1:7" ht="18" thickBot="1" x14ac:dyDescent="0.25">
      <c r="A147" s="20" t="s">
        <v>29</v>
      </c>
      <c r="B147" s="23">
        <v>1100</v>
      </c>
      <c r="C147" s="20">
        <v>55</v>
      </c>
      <c r="D147" s="20">
        <v>206</v>
      </c>
      <c r="E147" s="21">
        <f t="shared" si="0"/>
        <v>4120</v>
      </c>
      <c r="F147" s="21"/>
      <c r="G147" s="20"/>
    </row>
    <row r="148" spans="1:7" ht="18" thickBot="1" x14ac:dyDescent="0.25">
      <c r="A148" s="20" t="s">
        <v>30</v>
      </c>
      <c r="B148" s="23">
        <v>1200</v>
      </c>
      <c r="C148" s="20">
        <v>55</v>
      </c>
      <c r="D148" s="20">
        <v>253</v>
      </c>
      <c r="E148" s="21">
        <f t="shared" si="0"/>
        <v>5060</v>
      </c>
      <c r="F148" s="21"/>
      <c r="G148" s="20"/>
    </row>
    <row r="149" spans="1:7" ht="18" thickBot="1" x14ac:dyDescent="0.25">
      <c r="A149" s="20" t="s">
        <v>31</v>
      </c>
      <c r="B149" s="23">
        <v>1100</v>
      </c>
      <c r="C149" s="20">
        <v>50</v>
      </c>
      <c r="D149" s="20">
        <v>295</v>
      </c>
      <c r="E149" s="21">
        <f t="shared" si="0"/>
        <v>5900</v>
      </c>
      <c r="F149" s="21"/>
      <c r="G149" s="20"/>
    </row>
    <row r="150" spans="1:7" ht="18" thickBot="1" x14ac:dyDescent="0.25">
      <c r="A150" s="20" t="s">
        <v>32</v>
      </c>
      <c r="B150" s="23">
        <v>1000</v>
      </c>
      <c r="C150" s="20">
        <v>45</v>
      </c>
      <c r="D150" s="20">
        <v>330</v>
      </c>
      <c r="E150" s="21">
        <f t="shared" si="0"/>
        <v>6600</v>
      </c>
      <c r="F150" s="21"/>
      <c r="G150" s="20"/>
    </row>
    <row r="151" spans="1:7" ht="18" thickBot="1" x14ac:dyDescent="0.25">
      <c r="A151" s="20" t="s">
        <v>33</v>
      </c>
      <c r="B151" s="20">
        <v>900</v>
      </c>
      <c r="C151" s="20">
        <v>40</v>
      </c>
      <c r="D151" s="20">
        <v>362</v>
      </c>
      <c r="E151" s="21">
        <f t="shared" si="0"/>
        <v>7240</v>
      </c>
      <c r="F151" s="21"/>
      <c r="G151" s="20"/>
    </row>
    <row r="152" spans="1:7" ht="18" thickBot="1" x14ac:dyDescent="0.25">
      <c r="A152" s="20" t="s">
        <v>34</v>
      </c>
      <c r="B152" s="20">
        <v>750</v>
      </c>
      <c r="C152" s="20">
        <v>30</v>
      </c>
      <c r="D152" s="20">
        <v>377</v>
      </c>
      <c r="E152" s="21">
        <f t="shared" si="0"/>
        <v>7540</v>
      </c>
      <c r="F152" s="21"/>
      <c r="G152" s="20"/>
    </row>
    <row r="153" spans="1:7" ht="18" thickBot="1" x14ac:dyDescent="0.25">
      <c r="A153" s="20" t="s">
        <v>35</v>
      </c>
      <c r="B153" s="20">
        <v>700</v>
      </c>
      <c r="C153" s="20">
        <v>25</v>
      </c>
      <c r="D153" s="24">
        <v>396</v>
      </c>
      <c r="E153" s="21">
        <f>D153*20</f>
        <v>7920</v>
      </c>
      <c r="F153" s="21"/>
      <c r="G153" s="20"/>
    </row>
    <row r="157" spans="1:7" ht="17" thickBot="1" x14ac:dyDescent="0.25">
      <c r="C157" s="25" t="s">
        <v>209</v>
      </c>
    </row>
    <row r="158" spans="1:7" ht="18" thickBot="1" x14ac:dyDescent="0.25">
      <c r="C158" s="26" t="s">
        <v>40</v>
      </c>
      <c r="D158" s="26" t="s">
        <v>210</v>
      </c>
      <c r="E158" s="26" t="s">
        <v>211</v>
      </c>
      <c r="F158" s="26" t="s">
        <v>212</v>
      </c>
    </row>
    <row r="159" spans="1:7" ht="18" thickBot="1" x14ac:dyDescent="0.25">
      <c r="C159" s="27" t="s">
        <v>213</v>
      </c>
      <c r="D159" s="28">
        <v>12000</v>
      </c>
      <c r="E159" s="28">
        <v>10000</v>
      </c>
      <c r="F159" s="29">
        <v>22000</v>
      </c>
    </row>
    <row r="160" spans="1:7" ht="18" thickBot="1" x14ac:dyDescent="0.25">
      <c r="C160" s="27" t="s">
        <v>214</v>
      </c>
      <c r="D160" s="27">
        <v>350</v>
      </c>
      <c r="E160" s="27">
        <v>300</v>
      </c>
      <c r="F160" s="26">
        <v>650</v>
      </c>
    </row>
    <row r="161" spans="3:6" ht="18" thickBot="1" x14ac:dyDescent="0.25">
      <c r="C161" s="27" t="s">
        <v>215</v>
      </c>
      <c r="D161" s="27">
        <v>700</v>
      </c>
      <c r="E161" s="27">
        <v>600</v>
      </c>
      <c r="F161" s="29">
        <v>1300</v>
      </c>
    </row>
    <row r="162" spans="3:6" ht="18" thickBot="1" x14ac:dyDescent="0.25">
      <c r="C162" s="27" t="s">
        <v>216</v>
      </c>
      <c r="D162" s="30">
        <v>4.4999999999999998E-2</v>
      </c>
      <c r="E162" s="31">
        <v>0.05</v>
      </c>
      <c r="F162" s="27" t="s">
        <v>130</v>
      </c>
    </row>
    <row r="163" spans="3:6" ht="18" thickBot="1" x14ac:dyDescent="0.25">
      <c r="C163" s="27" t="s">
        <v>217</v>
      </c>
      <c r="D163" s="27">
        <v>300</v>
      </c>
      <c r="E163" s="27">
        <v>260</v>
      </c>
      <c r="F163" s="26">
        <v>560</v>
      </c>
    </row>
    <row r="164" spans="3:6" ht="18" thickBot="1" x14ac:dyDescent="0.25">
      <c r="C164" s="27" t="s">
        <v>218</v>
      </c>
      <c r="D164" s="32">
        <v>24</v>
      </c>
      <c r="E164" s="32">
        <v>26</v>
      </c>
      <c r="F164" s="27" t="s">
        <v>130</v>
      </c>
    </row>
    <row r="165" spans="3:6" ht="18" thickBot="1" x14ac:dyDescent="0.25">
      <c r="C165" s="27" t="s">
        <v>219</v>
      </c>
      <c r="D165" s="32">
        <v>8400</v>
      </c>
      <c r="E165" s="32">
        <v>7800</v>
      </c>
      <c r="F165" s="33">
        <v>16200</v>
      </c>
    </row>
    <row r="166" spans="3:6" ht="18" thickBot="1" x14ac:dyDescent="0.25">
      <c r="C166" s="27" t="s">
        <v>220</v>
      </c>
      <c r="D166" s="27" t="s">
        <v>221</v>
      </c>
      <c r="E166" s="27" t="s">
        <v>222</v>
      </c>
      <c r="F166" s="35">
        <f>F160*20*12</f>
        <v>156000</v>
      </c>
    </row>
    <row r="167" spans="3:6" ht="16" x14ac:dyDescent="0.2">
      <c r="C167" s="34"/>
    </row>
    <row r="169" spans="3:6" x14ac:dyDescent="0.2">
      <c r="D169" t="s">
        <v>223</v>
      </c>
      <c r="E169" s="3">
        <f>(7920)*12+Assumptions!F166</f>
        <v>251040</v>
      </c>
      <c r="F169" s="3">
        <f>E169/12</f>
        <v>20920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B5CC-43FD-D54D-BE38-62AF095F001D}">
  <dimension ref="A1:O34"/>
  <sheetViews>
    <sheetView topLeftCell="D1" zoomScale="137" workbookViewId="0">
      <selection activeCell="I1" sqref="I1"/>
    </sheetView>
  </sheetViews>
  <sheetFormatPr baseColWidth="10" defaultColWidth="8.83203125" defaultRowHeight="15" x14ac:dyDescent="0.2"/>
  <cols>
    <col min="2" max="2" width="15.5" customWidth="1"/>
    <col min="3" max="3" width="10.6640625" bestFit="1" customWidth="1"/>
    <col min="4" max="4" width="18.6640625" bestFit="1" customWidth="1"/>
    <col min="5" max="5" width="16.33203125" bestFit="1" customWidth="1"/>
    <col min="6" max="6" width="8.5" bestFit="1" customWidth="1"/>
    <col min="7" max="7" width="13.33203125" bestFit="1" customWidth="1"/>
    <col min="8" max="8" width="14.6640625" bestFit="1" customWidth="1"/>
    <col min="9" max="9" width="16.5" bestFit="1" customWidth="1"/>
    <col min="10" max="10" width="16" bestFit="1" customWidth="1"/>
    <col min="11" max="11" width="16.33203125" bestFit="1" customWidth="1"/>
    <col min="12" max="12" width="19.1640625" customWidth="1"/>
    <col min="13" max="13" width="16" bestFit="1" customWidth="1"/>
    <col min="14" max="14" width="23.5" customWidth="1"/>
    <col min="15" max="15" width="21.1640625" bestFit="1" customWidth="1"/>
    <col min="18" max="18" width="16" customWidth="1"/>
  </cols>
  <sheetData>
    <row r="1" spans="1:15" x14ac:dyDescent="0.2">
      <c r="A1" t="s">
        <v>44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45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46</v>
      </c>
      <c r="O1" t="s">
        <v>47</v>
      </c>
    </row>
    <row r="2" spans="1:15" x14ac:dyDescent="0.2">
      <c r="A2">
        <v>1</v>
      </c>
      <c r="B2">
        <v>10</v>
      </c>
      <c r="C2">
        <v>0</v>
      </c>
      <c r="D2">
        <f>SUM($B$2:B2)</f>
        <v>10</v>
      </c>
      <c r="E2">
        <f>SUM($C$2:C2)</f>
        <v>0</v>
      </c>
      <c r="F2">
        <f>E2-D2</f>
        <v>-10</v>
      </c>
      <c r="G2">
        <v>4243000</v>
      </c>
      <c r="H2">
        <v>274860</v>
      </c>
      <c r="I2">
        <f t="shared" ref="I2:I34" si="0">G2*0.01</f>
        <v>42430</v>
      </c>
      <c r="J2" s="6">
        <v>8878.8333333333303</v>
      </c>
      <c r="K2" s="6">
        <f t="shared" ref="K2:K34" si="1">M2*0.01</f>
        <v>0</v>
      </c>
      <c r="L2" s="6">
        <f>0.04*(G2+M2)</f>
        <v>169720</v>
      </c>
      <c r="M2" s="6">
        <v>0</v>
      </c>
      <c r="N2" s="6">
        <f>(M2+L2)-(G2+H2+I2+J2+K2)</f>
        <v>-4399448.833333333</v>
      </c>
      <c r="O2" s="6">
        <f>SUM($N$2:N2)</f>
        <v>-4399448.833333333</v>
      </c>
    </row>
    <row r="3" spans="1:15" x14ac:dyDescent="0.2">
      <c r="A3">
        <v>2</v>
      </c>
      <c r="B3">
        <v>15</v>
      </c>
      <c r="C3">
        <v>0</v>
      </c>
      <c r="D3">
        <f>SUM($B$2:B3)</f>
        <v>25</v>
      </c>
      <c r="E3">
        <f>SUM($C$2:C3)</f>
        <v>0</v>
      </c>
      <c r="F3">
        <f t="shared" ref="F3:F34" si="2">E3-D3</f>
        <v>-25</v>
      </c>
      <c r="G3">
        <v>6586000</v>
      </c>
      <c r="H3">
        <v>415440</v>
      </c>
      <c r="I3">
        <f t="shared" si="0"/>
        <v>65860</v>
      </c>
      <c r="J3" s="6">
        <v>22603.166666666599</v>
      </c>
      <c r="K3" s="6">
        <f t="shared" si="1"/>
        <v>0</v>
      </c>
      <c r="L3" s="6">
        <f t="shared" ref="L3:L13" si="3">0.04*(G3+M3)</f>
        <v>263440</v>
      </c>
      <c r="M3" s="6">
        <v>0</v>
      </c>
      <c r="N3" s="6">
        <f t="shared" ref="N3:N34" si="4">(M3+L3)-(G3+H3+I3+J3+K3)</f>
        <v>-6826463.166666667</v>
      </c>
      <c r="O3" s="6">
        <f>SUM($N$2:N3)</f>
        <v>-11225912</v>
      </c>
    </row>
    <row r="4" spans="1:15" x14ac:dyDescent="0.2">
      <c r="A4">
        <v>3</v>
      </c>
      <c r="B4">
        <v>20</v>
      </c>
      <c r="C4">
        <v>0</v>
      </c>
      <c r="D4">
        <f>SUM($B$2:B4)</f>
        <v>45</v>
      </c>
      <c r="E4">
        <f>SUM($C$2:C4)</f>
        <v>0</v>
      </c>
      <c r="F4">
        <f t="shared" si="2"/>
        <v>-45</v>
      </c>
      <c r="G4">
        <v>8824000</v>
      </c>
      <c r="H4">
        <v>556480</v>
      </c>
      <c r="I4">
        <f t="shared" si="0"/>
        <v>88240</v>
      </c>
      <c r="J4" s="6">
        <v>40980.5</v>
      </c>
      <c r="K4" s="6">
        <f t="shared" si="1"/>
        <v>0</v>
      </c>
      <c r="L4" s="6">
        <f t="shared" si="3"/>
        <v>352960</v>
      </c>
      <c r="M4" s="6">
        <v>0</v>
      </c>
      <c r="N4" s="6">
        <f t="shared" si="4"/>
        <v>-9156740.5</v>
      </c>
      <c r="O4" s="6">
        <f>SUM($N$2:N4)</f>
        <v>-20382652.5</v>
      </c>
    </row>
    <row r="5" spans="1:15" x14ac:dyDescent="0.2">
      <c r="A5">
        <v>4</v>
      </c>
      <c r="B5">
        <v>25</v>
      </c>
      <c r="C5">
        <v>0</v>
      </c>
      <c r="D5">
        <f>SUM($B$2:B5)</f>
        <v>70</v>
      </c>
      <c r="E5">
        <f>SUM($C$2:C5)</f>
        <v>0</v>
      </c>
      <c r="F5">
        <f t="shared" si="2"/>
        <v>-70</v>
      </c>
      <c r="G5">
        <v>11062000</v>
      </c>
      <c r="H5">
        <v>697520</v>
      </c>
      <c r="I5">
        <f t="shared" si="0"/>
        <v>110620</v>
      </c>
      <c r="J5" s="6">
        <v>64010.833333333299</v>
      </c>
      <c r="K5" s="6">
        <f t="shared" si="1"/>
        <v>0</v>
      </c>
      <c r="L5" s="6">
        <f t="shared" si="3"/>
        <v>442480</v>
      </c>
      <c r="M5" s="6">
        <v>0</v>
      </c>
      <c r="N5" s="6">
        <f t="shared" si="4"/>
        <v>-11491670.833333334</v>
      </c>
      <c r="O5" s="6">
        <f>SUM($N$2:N5)</f>
        <v>-31874323.333333336</v>
      </c>
    </row>
    <row r="6" spans="1:15" x14ac:dyDescent="0.2">
      <c r="A6">
        <v>5</v>
      </c>
      <c r="B6">
        <v>35</v>
      </c>
      <c r="C6">
        <v>2</v>
      </c>
      <c r="D6">
        <f>SUM($B$2:B6)</f>
        <v>105</v>
      </c>
      <c r="E6">
        <f>SUM($C$2:C6)</f>
        <v>2</v>
      </c>
      <c r="F6">
        <f t="shared" si="2"/>
        <v>-103</v>
      </c>
      <c r="G6">
        <v>15410000</v>
      </c>
      <c r="H6">
        <v>971920</v>
      </c>
      <c r="I6">
        <f t="shared" si="0"/>
        <v>154100</v>
      </c>
      <c r="J6" s="6">
        <v>94653.166666666599</v>
      </c>
      <c r="K6" s="6">
        <f t="shared" si="1"/>
        <v>7930.5575698243902</v>
      </c>
      <c r="L6" s="6">
        <f t="shared" si="3"/>
        <v>648122.23027929757</v>
      </c>
      <c r="M6" s="6">
        <v>793055.75698243896</v>
      </c>
      <c r="N6" s="6">
        <f t="shared" si="4"/>
        <v>-15197425.736974753</v>
      </c>
      <c r="O6" s="6">
        <f>SUM($N$2:N6)</f>
        <v>-47071749.070308089</v>
      </c>
    </row>
    <row r="7" spans="1:15" x14ac:dyDescent="0.2">
      <c r="A7">
        <v>6</v>
      </c>
      <c r="B7">
        <v>40</v>
      </c>
      <c r="C7">
        <v>11</v>
      </c>
      <c r="D7">
        <f>SUM($B$2:B7)</f>
        <v>145</v>
      </c>
      <c r="E7">
        <f>SUM($C$2:C7)</f>
        <v>13</v>
      </c>
      <c r="F7">
        <f t="shared" si="2"/>
        <v>-132</v>
      </c>
      <c r="G7">
        <v>17648000</v>
      </c>
      <c r="H7">
        <v>1112960</v>
      </c>
      <c r="I7">
        <f t="shared" si="0"/>
        <v>176480</v>
      </c>
      <c r="J7" s="6">
        <v>122611.5</v>
      </c>
      <c r="K7" s="6">
        <f t="shared" si="1"/>
        <v>47931.414528888403</v>
      </c>
      <c r="L7" s="6">
        <f t="shared" si="3"/>
        <v>897645.65811555355</v>
      </c>
      <c r="M7" s="6">
        <v>4793141.4528888399</v>
      </c>
      <c r="N7" s="6">
        <f t="shared" si="4"/>
        <v>-13417195.803524494</v>
      </c>
      <c r="O7" s="6">
        <f>SUM($N$2:N7)</f>
        <v>-60488944.873832583</v>
      </c>
    </row>
    <row r="8" spans="1:15" x14ac:dyDescent="0.2">
      <c r="A8">
        <v>7</v>
      </c>
      <c r="B8">
        <v>40</v>
      </c>
      <c r="C8">
        <v>16</v>
      </c>
      <c r="D8">
        <f>SUM($B$2:B8)</f>
        <v>185</v>
      </c>
      <c r="E8">
        <f>SUM($C$2:C8)</f>
        <v>29</v>
      </c>
      <c r="F8">
        <f t="shared" si="2"/>
        <v>-156</v>
      </c>
      <c r="G8">
        <v>17648000</v>
      </c>
      <c r="H8">
        <v>1112960</v>
      </c>
      <c r="I8">
        <f t="shared" si="0"/>
        <v>176480</v>
      </c>
      <c r="J8" s="6">
        <v>145724.33333333299</v>
      </c>
      <c r="K8" s="6">
        <f t="shared" si="1"/>
        <v>74575.096555817203</v>
      </c>
      <c r="L8" s="6">
        <f t="shared" si="3"/>
        <v>1004220.3862232688</v>
      </c>
      <c r="M8" s="6">
        <v>7457509.6555817202</v>
      </c>
      <c r="N8" s="6">
        <f t="shared" si="4"/>
        <v>-10696009.38808416</v>
      </c>
      <c r="O8" s="6">
        <f>SUM($N$2:N8)</f>
        <v>-71184954.261916742</v>
      </c>
    </row>
    <row r="9" spans="1:15" x14ac:dyDescent="0.2">
      <c r="A9">
        <v>8</v>
      </c>
      <c r="B9">
        <v>35</v>
      </c>
      <c r="C9">
        <v>27</v>
      </c>
      <c r="D9">
        <f>SUM($B$2:B9)</f>
        <v>220</v>
      </c>
      <c r="E9">
        <f>SUM($C$2:C9)</f>
        <v>56</v>
      </c>
      <c r="F9">
        <f t="shared" si="2"/>
        <v>-164</v>
      </c>
      <c r="G9">
        <v>15410000</v>
      </c>
      <c r="H9">
        <v>971920</v>
      </c>
      <c r="I9">
        <f t="shared" si="0"/>
        <v>154100</v>
      </c>
      <c r="J9" s="6">
        <v>152909.16666666599</v>
      </c>
      <c r="K9" s="6">
        <f t="shared" si="1"/>
        <v>137044.94558930999</v>
      </c>
      <c r="L9" s="6">
        <f t="shared" si="3"/>
        <v>1164579.7823572401</v>
      </c>
      <c r="M9" s="6">
        <v>13704494.558931001</v>
      </c>
      <c r="N9" s="6">
        <f t="shared" si="4"/>
        <v>-1956899.770967735</v>
      </c>
      <c r="O9" s="6">
        <f>SUM($N$2:N9)</f>
        <v>-73141854.032884479</v>
      </c>
    </row>
    <row r="10" spans="1:15" x14ac:dyDescent="0.2">
      <c r="A10">
        <v>9</v>
      </c>
      <c r="B10">
        <v>30</v>
      </c>
      <c r="C10">
        <v>27</v>
      </c>
      <c r="D10">
        <f>SUM($B$2:B10)</f>
        <v>250</v>
      </c>
      <c r="E10">
        <f>SUM($C$2:C10)</f>
        <v>83</v>
      </c>
      <c r="F10">
        <f t="shared" si="2"/>
        <v>-167</v>
      </c>
      <c r="G10">
        <v>13067000</v>
      </c>
      <c r="H10">
        <v>831340</v>
      </c>
      <c r="I10">
        <f t="shared" si="0"/>
        <v>130670</v>
      </c>
      <c r="J10" s="6">
        <v>156530</v>
      </c>
      <c r="K10" s="6">
        <f t="shared" si="1"/>
        <v>129322.527413338</v>
      </c>
      <c r="L10" s="6">
        <f t="shared" si="3"/>
        <v>1039970.1096533519</v>
      </c>
      <c r="M10" s="6">
        <v>12932252.741333799</v>
      </c>
      <c r="N10" s="6">
        <f t="shared" si="4"/>
        <v>-342639.67642618716</v>
      </c>
      <c r="O10" s="6">
        <f>SUM($N$2:N10)</f>
        <v>-73484493.709310666</v>
      </c>
    </row>
    <row r="11" spans="1:15" x14ac:dyDescent="0.2">
      <c r="A11">
        <v>10</v>
      </c>
      <c r="B11">
        <v>25</v>
      </c>
      <c r="C11">
        <v>30</v>
      </c>
      <c r="D11">
        <f>SUM($B$2:B11)</f>
        <v>275</v>
      </c>
      <c r="E11">
        <f>SUM($C$2:C11)</f>
        <v>113</v>
      </c>
      <c r="F11">
        <f t="shared" si="2"/>
        <v>-162</v>
      </c>
      <c r="G11">
        <v>11062000</v>
      </c>
      <c r="H11">
        <v>697520</v>
      </c>
      <c r="I11">
        <f t="shared" si="0"/>
        <v>110620</v>
      </c>
      <c r="J11" s="6">
        <v>153501.33333333299</v>
      </c>
      <c r="K11" s="6">
        <f t="shared" si="1"/>
        <v>142765.58582801701</v>
      </c>
      <c r="L11" s="6">
        <f t="shared" si="3"/>
        <v>1013542.343312068</v>
      </c>
      <c r="M11" s="6">
        <v>14276558.5828017</v>
      </c>
      <c r="N11" s="6">
        <f t="shared" si="4"/>
        <v>3123694.006952418</v>
      </c>
      <c r="O11" s="6">
        <f>SUM($N$2:N11)</f>
        <v>-70360799.702358246</v>
      </c>
    </row>
    <row r="12" spans="1:15" x14ac:dyDescent="0.2">
      <c r="A12">
        <v>11</v>
      </c>
      <c r="B12">
        <v>15</v>
      </c>
      <c r="C12">
        <v>48</v>
      </c>
      <c r="D12">
        <f>SUM($B$2:B12)</f>
        <v>290</v>
      </c>
      <c r="E12">
        <f>SUM($C$2:C12)</f>
        <v>161</v>
      </c>
      <c r="F12">
        <f t="shared" si="2"/>
        <v>-129</v>
      </c>
      <c r="G12">
        <v>6586000</v>
      </c>
      <c r="H12">
        <v>415440</v>
      </c>
      <c r="I12">
        <f t="shared" si="0"/>
        <v>65860</v>
      </c>
      <c r="J12" s="6">
        <v>123948</v>
      </c>
      <c r="K12" s="6">
        <f t="shared" si="1"/>
        <v>237140.36699409501</v>
      </c>
      <c r="L12" s="6">
        <f t="shared" si="3"/>
        <v>1212001.4679763799</v>
      </c>
      <c r="M12" s="6">
        <v>23714036.6994095</v>
      </c>
      <c r="N12" s="6">
        <f t="shared" si="4"/>
        <v>17497649.800391786</v>
      </c>
      <c r="O12" s="6">
        <f>SUM($N$2:N12)</f>
        <v>-52863149.90196646</v>
      </c>
    </row>
    <row r="13" spans="1:15" x14ac:dyDescent="0.2">
      <c r="A13">
        <v>12</v>
      </c>
      <c r="B13">
        <v>10</v>
      </c>
      <c r="C13">
        <v>25</v>
      </c>
      <c r="D13">
        <f>SUM($B$2:B13)</f>
        <v>300</v>
      </c>
      <c r="E13">
        <f>SUM($C$2:C13)</f>
        <v>186</v>
      </c>
      <c r="F13">
        <f t="shared" si="2"/>
        <v>-114</v>
      </c>
      <c r="G13">
        <v>4243000</v>
      </c>
      <c r="H13">
        <v>274860</v>
      </c>
      <c r="I13">
        <f t="shared" si="0"/>
        <v>42430</v>
      </c>
      <c r="J13" s="6">
        <v>108557.166666666</v>
      </c>
      <c r="K13" s="6">
        <f t="shared" si="1"/>
        <v>133931.80402182401</v>
      </c>
      <c r="L13" s="6">
        <f t="shared" si="3"/>
        <v>705447.21608729602</v>
      </c>
      <c r="M13" s="6">
        <v>13393180.4021824</v>
      </c>
      <c r="N13" s="6">
        <f t="shared" si="4"/>
        <v>9295848.6475812066</v>
      </c>
      <c r="O13" s="6">
        <f>SUM($N$2:N13)</f>
        <v>-43567301.254385255</v>
      </c>
    </row>
    <row r="14" spans="1:15" x14ac:dyDescent="0.2">
      <c r="A14">
        <v>13</v>
      </c>
      <c r="B14">
        <v>7</v>
      </c>
      <c r="C14">
        <v>30</v>
      </c>
      <c r="D14">
        <f>SUM($B$2:B14)</f>
        <v>307</v>
      </c>
      <c r="E14">
        <f>SUM($C$2:C14)</f>
        <v>216</v>
      </c>
      <c r="F14">
        <f t="shared" si="2"/>
        <v>-91</v>
      </c>
      <c r="G14">
        <v>3124000</v>
      </c>
      <c r="H14">
        <v>198530.65999999901</v>
      </c>
      <c r="I14">
        <f t="shared" si="0"/>
        <v>31240</v>
      </c>
      <c r="J14" s="6">
        <v>86366.5</v>
      </c>
      <c r="K14" s="6">
        <f t="shared" si="1"/>
        <v>158136.39074025699</v>
      </c>
      <c r="L14" s="6">
        <f>0.0425*(G14+M14)</f>
        <v>804849.66064609226</v>
      </c>
      <c r="M14" s="6">
        <v>15813639.0740257</v>
      </c>
      <c r="N14" s="6">
        <f t="shared" si="4"/>
        <v>13020215.183931537</v>
      </c>
      <c r="O14" s="6">
        <f>SUM($N$2:N14)</f>
        <v>-30547086.070453718</v>
      </c>
    </row>
    <row r="15" spans="1:15" x14ac:dyDescent="0.2">
      <c r="A15">
        <v>14</v>
      </c>
      <c r="B15">
        <v>10</v>
      </c>
      <c r="C15">
        <v>24</v>
      </c>
      <c r="D15">
        <f>SUM($B$2:B15)</f>
        <v>317</v>
      </c>
      <c r="E15">
        <f>SUM($C$2:C15)</f>
        <v>240</v>
      </c>
      <c r="F15">
        <f t="shared" si="2"/>
        <v>-77</v>
      </c>
      <c r="G15">
        <v>4243000</v>
      </c>
      <c r="H15">
        <v>280989.37799999898</v>
      </c>
      <c r="I15">
        <f t="shared" si="0"/>
        <v>42430</v>
      </c>
      <c r="J15" s="6">
        <v>73756.833333333299</v>
      </c>
      <c r="K15" s="6">
        <f t="shared" si="1"/>
        <v>118164.797681308</v>
      </c>
      <c r="L15" s="6">
        <f t="shared" ref="L15:L34" si="5">0.0425*(G15+M15)</f>
        <v>682527.8901455591</v>
      </c>
      <c r="M15" s="6">
        <v>11816479.7681308</v>
      </c>
      <c r="N15" s="6">
        <f t="shared" si="4"/>
        <v>7740666.6492617186</v>
      </c>
      <c r="O15" s="6">
        <f>SUM($N$2:N15)</f>
        <v>-22806419.421191998</v>
      </c>
    </row>
    <row r="16" spans="1:15" x14ac:dyDescent="0.2">
      <c r="A16">
        <v>15</v>
      </c>
      <c r="B16">
        <v>13</v>
      </c>
      <c r="C16">
        <v>30</v>
      </c>
      <c r="D16">
        <f>SUM($B$2:B16)</f>
        <v>330</v>
      </c>
      <c r="E16">
        <f>SUM($C$2:C16)</f>
        <v>270</v>
      </c>
      <c r="F16">
        <f t="shared" si="2"/>
        <v>-60</v>
      </c>
      <c r="G16">
        <v>5700000</v>
      </c>
      <c r="H16">
        <v>370358.84399999998</v>
      </c>
      <c r="I16">
        <f t="shared" si="0"/>
        <v>57000</v>
      </c>
      <c r="J16" s="6">
        <v>57376</v>
      </c>
      <c r="K16" s="6">
        <f t="shared" si="1"/>
        <v>155728.59321847901</v>
      </c>
      <c r="L16" s="6">
        <f t="shared" si="5"/>
        <v>904096.52117853588</v>
      </c>
      <c r="M16" s="6">
        <v>15572859.321847901</v>
      </c>
      <c r="N16" s="6">
        <f t="shared" si="4"/>
        <v>10136492.405807957</v>
      </c>
      <c r="O16" s="6">
        <f>SUM($N$2:N16)</f>
        <v>-12669927.015384041</v>
      </c>
    </row>
    <row r="17" spans="1:15" x14ac:dyDescent="0.2">
      <c r="A17">
        <v>16</v>
      </c>
      <c r="B17">
        <v>29</v>
      </c>
      <c r="C17">
        <v>14</v>
      </c>
      <c r="D17">
        <f>SUM($B$2:B17)</f>
        <v>359</v>
      </c>
      <c r="E17">
        <f>SUM($C$2:C17)</f>
        <v>284</v>
      </c>
      <c r="F17">
        <f t="shared" si="2"/>
        <v>-75</v>
      </c>
      <c r="G17">
        <v>12085000</v>
      </c>
      <c r="H17">
        <v>869701.04399999999</v>
      </c>
      <c r="I17">
        <f t="shared" si="0"/>
        <v>120850</v>
      </c>
      <c r="J17" s="6">
        <v>66005.333333333299</v>
      </c>
      <c r="K17" s="6">
        <f t="shared" si="1"/>
        <v>78796.847164413208</v>
      </c>
      <c r="L17" s="6">
        <f t="shared" si="5"/>
        <v>848499.10044875613</v>
      </c>
      <c r="M17" s="6">
        <v>7879684.7164413203</v>
      </c>
      <c r="N17" s="6">
        <f t="shared" si="4"/>
        <v>-4492169.4076076709</v>
      </c>
      <c r="O17" s="6">
        <f>SUM($N$2:N17)</f>
        <v>-17162096.422991712</v>
      </c>
    </row>
    <row r="18" spans="1:15" x14ac:dyDescent="0.2">
      <c r="A18">
        <v>17</v>
      </c>
      <c r="B18">
        <v>35</v>
      </c>
      <c r="C18">
        <v>14</v>
      </c>
      <c r="D18">
        <f>SUM($B$2:B18)</f>
        <v>394</v>
      </c>
      <c r="E18">
        <f>SUM($C$2:C18)</f>
        <v>298</v>
      </c>
      <c r="F18">
        <f t="shared" si="2"/>
        <v>-96</v>
      </c>
      <c r="G18">
        <v>14533000</v>
      </c>
      <c r="H18">
        <v>1033677.96399999</v>
      </c>
      <c r="I18">
        <f t="shared" si="0"/>
        <v>145330</v>
      </c>
      <c r="J18" s="6">
        <v>81214.5</v>
      </c>
      <c r="K18" s="6">
        <f t="shared" si="1"/>
        <v>70489.750000636996</v>
      </c>
      <c r="L18" s="6">
        <f t="shared" si="5"/>
        <v>917233.93750270724</v>
      </c>
      <c r="M18" s="6">
        <v>7048975.0000636997</v>
      </c>
      <c r="N18" s="6">
        <f t="shared" si="4"/>
        <v>-7897503.2764342204</v>
      </c>
      <c r="O18" s="6">
        <f>SUM($N$2:N18)</f>
        <v>-25059599.699425932</v>
      </c>
    </row>
    <row r="19" spans="1:15" x14ac:dyDescent="0.2">
      <c r="A19">
        <v>18</v>
      </c>
      <c r="B19">
        <v>51</v>
      </c>
      <c r="C19">
        <v>11</v>
      </c>
      <c r="D19">
        <f>SUM($B$2:B19)</f>
        <v>445</v>
      </c>
      <c r="E19">
        <f>SUM($C$2:C19)</f>
        <v>309</v>
      </c>
      <c r="F19">
        <f t="shared" si="2"/>
        <v>-136</v>
      </c>
      <c r="G19">
        <v>21018000</v>
      </c>
      <c r="H19">
        <v>1534920.1639999901</v>
      </c>
      <c r="I19">
        <f t="shared" si="0"/>
        <v>210180</v>
      </c>
      <c r="J19" s="6">
        <v>110114.33333333299</v>
      </c>
      <c r="K19" s="6">
        <f t="shared" si="1"/>
        <v>56418.991710638096</v>
      </c>
      <c r="L19" s="6">
        <f t="shared" si="5"/>
        <v>1133045.7147702121</v>
      </c>
      <c r="M19" s="6">
        <v>5641899.1710638097</v>
      </c>
      <c r="N19" s="6">
        <f t="shared" si="4"/>
        <v>-16154688.603209937</v>
      </c>
      <c r="O19" s="6">
        <f>SUM($N$2:N19)</f>
        <v>-41214288.302635871</v>
      </c>
    </row>
    <row r="20" spans="1:15" x14ac:dyDescent="0.2">
      <c r="A20">
        <v>19</v>
      </c>
      <c r="B20">
        <v>54</v>
      </c>
      <c r="C20">
        <v>12</v>
      </c>
      <c r="D20">
        <f>SUM($B$2:B20)</f>
        <v>499</v>
      </c>
      <c r="E20">
        <f>SUM($C$2:C20)</f>
        <v>321</v>
      </c>
      <c r="F20">
        <f t="shared" si="2"/>
        <v>-178</v>
      </c>
      <c r="G20">
        <v>22358000</v>
      </c>
      <c r="H20">
        <v>1635620.1639999901</v>
      </c>
      <c r="I20">
        <f t="shared" si="0"/>
        <v>223580</v>
      </c>
      <c r="J20" s="6">
        <v>140768.33333333299</v>
      </c>
      <c r="K20" s="6">
        <f t="shared" si="1"/>
        <v>57782.128231627401</v>
      </c>
      <c r="L20" s="6">
        <f t="shared" si="5"/>
        <v>1195789.0449844166</v>
      </c>
      <c r="M20" s="6">
        <v>5778212.8231627401</v>
      </c>
      <c r="N20" s="6">
        <f t="shared" si="4"/>
        <v>-17441748.757417791</v>
      </c>
      <c r="O20" s="6">
        <f>SUM($N$2:N20)</f>
        <v>-58656037.060053661</v>
      </c>
    </row>
    <row r="21" spans="1:15" x14ac:dyDescent="0.2">
      <c r="A21">
        <v>20</v>
      </c>
      <c r="B21">
        <v>53</v>
      </c>
      <c r="C21">
        <v>10</v>
      </c>
      <c r="D21">
        <f>SUM($B$2:B21)</f>
        <v>552</v>
      </c>
      <c r="E21">
        <f>SUM($C$2:C21)</f>
        <v>331</v>
      </c>
      <c r="F21">
        <f t="shared" si="2"/>
        <v>-221</v>
      </c>
      <c r="G21">
        <v>21473000</v>
      </c>
      <c r="H21">
        <v>1612477.9639999999</v>
      </c>
      <c r="I21">
        <f t="shared" si="0"/>
        <v>214730</v>
      </c>
      <c r="J21" s="6">
        <v>170154.5</v>
      </c>
      <c r="K21" s="6">
        <f t="shared" si="1"/>
        <v>52467.531657558698</v>
      </c>
      <c r="L21" s="6">
        <f t="shared" si="5"/>
        <v>1135589.5095446245</v>
      </c>
      <c r="M21" s="6">
        <v>5246753.1657558698</v>
      </c>
      <c r="N21" s="6">
        <f t="shared" si="4"/>
        <v>-17140487.320357066</v>
      </c>
      <c r="O21" s="6">
        <f>SUM($N$2:N21)</f>
        <v>-75796524.380410731</v>
      </c>
    </row>
    <row r="22" spans="1:15" x14ac:dyDescent="0.2">
      <c r="A22">
        <v>21</v>
      </c>
      <c r="B22">
        <v>50</v>
      </c>
      <c r="C22">
        <v>25</v>
      </c>
      <c r="D22">
        <f>SUM($B$2:B22)</f>
        <v>602</v>
      </c>
      <c r="E22">
        <f>SUM($C$2:C22)</f>
        <v>356</v>
      </c>
      <c r="F22">
        <f t="shared" si="2"/>
        <v>-246</v>
      </c>
      <c r="G22">
        <v>20249000</v>
      </c>
      <c r="H22">
        <v>1530489.504</v>
      </c>
      <c r="I22">
        <f t="shared" si="0"/>
        <v>202490</v>
      </c>
      <c r="J22" s="6">
        <v>187561.5</v>
      </c>
      <c r="K22" s="6">
        <f t="shared" si="1"/>
        <v>110545.594550037</v>
      </c>
      <c r="L22" s="6">
        <f t="shared" si="5"/>
        <v>1330401.2768376574</v>
      </c>
      <c r="M22" s="6">
        <v>11054559.455003699</v>
      </c>
      <c r="N22" s="6">
        <f t="shared" si="4"/>
        <v>-9895125.8667086791</v>
      </c>
      <c r="O22" s="6">
        <f>SUM($N$2:N22)</f>
        <v>-85691650.247119412</v>
      </c>
    </row>
    <row r="23" spans="1:15" x14ac:dyDescent="0.2">
      <c r="A23">
        <v>22</v>
      </c>
      <c r="B23">
        <v>34</v>
      </c>
      <c r="C23">
        <v>33</v>
      </c>
      <c r="D23">
        <f>SUM($B$2:B23)</f>
        <v>636</v>
      </c>
      <c r="E23">
        <f>SUM($C$2:C23)</f>
        <v>389</v>
      </c>
      <c r="F23">
        <f t="shared" si="2"/>
        <v>-247</v>
      </c>
      <c r="G23">
        <v>13864000</v>
      </c>
      <c r="H23">
        <v>1031147.304</v>
      </c>
      <c r="I23">
        <f t="shared" si="0"/>
        <v>138640</v>
      </c>
      <c r="J23" s="6">
        <v>185716.5</v>
      </c>
      <c r="K23" s="6">
        <f t="shared" si="1"/>
        <v>160260.24522493401</v>
      </c>
      <c r="L23" s="6">
        <f t="shared" si="5"/>
        <v>1270326.0422059696</v>
      </c>
      <c r="M23" s="6">
        <v>16026024.5224934</v>
      </c>
      <c r="N23" s="6">
        <f t="shared" si="4"/>
        <v>1916586.5154744368</v>
      </c>
      <c r="O23" s="6">
        <f>SUM($N$2:N23)</f>
        <v>-83775063.731644973</v>
      </c>
    </row>
    <row r="24" spans="1:15" x14ac:dyDescent="0.2">
      <c r="A24">
        <v>23</v>
      </c>
      <c r="B24">
        <v>25</v>
      </c>
      <c r="C24">
        <v>57</v>
      </c>
      <c r="D24">
        <f>SUM($B$2:B24)</f>
        <v>661</v>
      </c>
      <c r="E24">
        <f>SUM($C$2:C24)</f>
        <v>446</v>
      </c>
      <c r="F24">
        <f t="shared" si="2"/>
        <v>-215</v>
      </c>
      <c r="G24">
        <v>9843000</v>
      </c>
      <c r="H24">
        <v>759089.37800000003</v>
      </c>
      <c r="I24">
        <f t="shared" si="0"/>
        <v>98430</v>
      </c>
      <c r="J24" s="6">
        <v>160155.66666666599</v>
      </c>
      <c r="K24" s="6">
        <f t="shared" si="1"/>
        <v>265074.69159924804</v>
      </c>
      <c r="L24" s="6">
        <f t="shared" si="5"/>
        <v>1544894.9392968044</v>
      </c>
      <c r="M24" s="6">
        <v>26507469.159924801</v>
      </c>
      <c r="N24" s="6">
        <f t="shared" si="4"/>
        <v>16926614.362955689</v>
      </c>
      <c r="O24" s="6">
        <f>SUM($N$2:N24)</f>
        <v>-66848449.368689284</v>
      </c>
    </row>
    <row r="25" spans="1:15" x14ac:dyDescent="0.2">
      <c r="A25">
        <v>24</v>
      </c>
      <c r="B25">
        <v>19</v>
      </c>
      <c r="C25">
        <v>34</v>
      </c>
      <c r="D25">
        <f>SUM($B$2:B25)</f>
        <v>680</v>
      </c>
      <c r="E25">
        <f>SUM($C$2:C25)</f>
        <v>480</v>
      </c>
      <c r="F25">
        <f t="shared" si="2"/>
        <v>-200</v>
      </c>
      <c r="G25">
        <v>7609000</v>
      </c>
      <c r="H25">
        <v>581330.65999999898</v>
      </c>
      <c r="I25">
        <f t="shared" si="0"/>
        <v>76090</v>
      </c>
      <c r="J25" s="6">
        <v>147690.5</v>
      </c>
      <c r="K25" s="6">
        <f t="shared" si="1"/>
        <v>161075.80900437501</v>
      </c>
      <c r="L25" s="6">
        <f t="shared" si="5"/>
        <v>1007954.6882685939</v>
      </c>
      <c r="M25" s="6">
        <v>16107580.9004375</v>
      </c>
      <c r="N25" s="6">
        <f t="shared" si="4"/>
        <v>8540348.6197017189</v>
      </c>
      <c r="O25" s="6">
        <f>SUM($N$2:N25)</f>
        <v>-58308100.748987563</v>
      </c>
    </row>
    <row r="26" spans="1:15" x14ac:dyDescent="0.2">
      <c r="A26">
        <v>25</v>
      </c>
      <c r="B26">
        <v>0</v>
      </c>
      <c r="C26">
        <v>45</v>
      </c>
      <c r="D26">
        <f>SUM($B$2:B26)</f>
        <v>680</v>
      </c>
      <c r="E26">
        <f>SUM($C$2:C26)</f>
        <v>525</v>
      </c>
      <c r="F26">
        <f t="shared" si="2"/>
        <v>-155</v>
      </c>
      <c r="G26">
        <v>0</v>
      </c>
      <c r="H26">
        <v>0</v>
      </c>
      <c r="I26">
        <f t="shared" si="0"/>
        <v>0</v>
      </c>
      <c r="J26" s="6">
        <v>113928.5</v>
      </c>
      <c r="K26" s="6">
        <f t="shared" si="1"/>
        <v>216532.76189043501</v>
      </c>
      <c r="L26" s="6">
        <f t="shared" si="5"/>
        <v>920264.23803434882</v>
      </c>
      <c r="M26" s="6">
        <v>21653276.1890435</v>
      </c>
      <c r="N26" s="6">
        <f t="shared" si="4"/>
        <v>22243079.165187415</v>
      </c>
      <c r="O26" s="6">
        <f>SUM($N$2:N26)</f>
        <v>-36065021.583800152</v>
      </c>
    </row>
    <row r="27" spans="1:15" x14ac:dyDescent="0.2">
      <c r="A27">
        <v>26</v>
      </c>
      <c r="B27">
        <v>0</v>
      </c>
      <c r="C27">
        <v>42</v>
      </c>
      <c r="D27">
        <f>SUM($B$2:B27)</f>
        <v>680</v>
      </c>
      <c r="E27">
        <f>SUM($C$2:C27)</f>
        <v>567</v>
      </c>
      <c r="F27">
        <f t="shared" si="2"/>
        <v>-113</v>
      </c>
      <c r="G27">
        <v>0</v>
      </c>
      <c r="H27">
        <v>0</v>
      </c>
      <c r="I27">
        <f t="shared" si="0"/>
        <v>0</v>
      </c>
      <c r="J27" s="6">
        <v>84955.333333333299</v>
      </c>
      <c r="K27" s="6">
        <f t="shared" si="1"/>
        <v>187334.77003473099</v>
      </c>
      <c r="L27" s="6">
        <f t="shared" si="5"/>
        <v>796172.77264760679</v>
      </c>
      <c r="M27" s="6">
        <v>18733477.003473099</v>
      </c>
      <c r="N27" s="6">
        <f t="shared" si="4"/>
        <v>19257359.672752645</v>
      </c>
      <c r="O27" s="6">
        <f>SUM($N$2:N27)</f>
        <v>-16807661.911047507</v>
      </c>
    </row>
    <row r="28" spans="1:15" x14ac:dyDescent="0.2">
      <c r="A28">
        <v>27</v>
      </c>
      <c r="B28">
        <v>0</v>
      </c>
      <c r="C28">
        <v>34</v>
      </c>
      <c r="D28">
        <f>SUM($B$2:B28)</f>
        <v>680</v>
      </c>
      <c r="E28">
        <f>SUM($C$2:C28)</f>
        <v>601</v>
      </c>
      <c r="F28">
        <f t="shared" si="2"/>
        <v>-79</v>
      </c>
      <c r="G28">
        <v>0</v>
      </c>
      <c r="H28">
        <v>0</v>
      </c>
      <c r="I28">
        <f t="shared" si="0"/>
        <v>0</v>
      </c>
      <c r="J28" s="6">
        <v>58741.666666666599</v>
      </c>
      <c r="K28" s="6">
        <f t="shared" si="1"/>
        <v>167141.23752802701</v>
      </c>
      <c r="L28" s="6">
        <f t="shared" si="5"/>
        <v>710350.25949411478</v>
      </c>
      <c r="M28" s="6">
        <v>16714123.7528027</v>
      </c>
      <c r="N28" s="6">
        <f t="shared" si="4"/>
        <v>17198591.10810212</v>
      </c>
      <c r="O28" s="6">
        <f>SUM($N$2:N28)</f>
        <v>390929.19705461338</v>
      </c>
    </row>
    <row r="29" spans="1:15" x14ac:dyDescent="0.2">
      <c r="A29">
        <v>28</v>
      </c>
      <c r="B29">
        <v>0</v>
      </c>
      <c r="C29">
        <v>37</v>
      </c>
      <c r="D29">
        <f>SUM($B$2:B29)</f>
        <v>680</v>
      </c>
      <c r="E29">
        <f>SUM($C$2:C29)</f>
        <v>638</v>
      </c>
      <c r="F29">
        <f t="shared" si="2"/>
        <v>-42</v>
      </c>
      <c r="G29">
        <v>0</v>
      </c>
      <c r="H29">
        <v>0</v>
      </c>
      <c r="I29">
        <f t="shared" si="0"/>
        <v>0</v>
      </c>
      <c r="J29" s="6">
        <v>31570.999999999902</v>
      </c>
      <c r="K29" s="6">
        <f t="shared" si="1"/>
        <v>175398.55954605699</v>
      </c>
      <c r="L29" s="6">
        <f t="shared" si="5"/>
        <v>745443.87807074224</v>
      </c>
      <c r="M29" s="6">
        <v>17539855.954605699</v>
      </c>
      <c r="N29" s="6">
        <f t="shared" si="4"/>
        <v>18078330.273130383</v>
      </c>
      <c r="O29" s="6">
        <f>SUM($N$2:N29)</f>
        <v>18469259.470184997</v>
      </c>
    </row>
    <row r="30" spans="1:15" x14ac:dyDescent="0.2">
      <c r="A30">
        <v>29</v>
      </c>
      <c r="B30">
        <v>0</v>
      </c>
      <c r="C30">
        <v>20</v>
      </c>
      <c r="D30">
        <f>SUM($B$2:B30)</f>
        <v>680</v>
      </c>
      <c r="E30">
        <f>SUM($C$2:C30)</f>
        <v>658</v>
      </c>
      <c r="F30">
        <f t="shared" si="2"/>
        <v>-22</v>
      </c>
      <c r="G30">
        <v>0</v>
      </c>
      <c r="H30">
        <v>0</v>
      </c>
      <c r="I30">
        <f t="shared" si="0"/>
        <v>0</v>
      </c>
      <c r="J30" s="6">
        <v>16724.166666666599</v>
      </c>
      <c r="K30" s="6">
        <f t="shared" si="1"/>
        <v>99985.098334516311</v>
      </c>
      <c r="L30" s="6">
        <f t="shared" si="5"/>
        <v>424936.66792169434</v>
      </c>
      <c r="M30" s="6">
        <v>9998509.8334516305</v>
      </c>
      <c r="N30" s="6">
        <f t="shared" si="4"/>
        <v>10306737.236372141</v>
      </c>
      <c r="O30" s="6">
        <f>SUM($N$2:N30)</f>
        <v>28775996.70655714</v>
      </c>
    </row>
    <row r="31" spans="1:15" x14ac:dyDescent="0.2">
      <c r="A31">
        <v>30</v>
      </c>
      <c r="B31">
        <v>0</v>
      </c>
      <c r="C31">
        <v>15</v>
      </c>
      <c r="D31">
        <f>SUM($B$2:B31)</f>
        <v>680</v>
      </c>
      <c r="E31">
        <f>SUM($C$2:C31)</f>
        <v>673</v>
      </c>
      <c r="F31">
        <f t="shared" si="2"/>
        <v>-7</v>
      </c>
      <c r="G31">
        <v>0</v>
      </c>
      <c r="H31">
        <v>0</v>
      </c>
      <c r="I31">
        <f t="shared" si="0"/>
        <v>0</v>
      </c>
      <c r="J31" s="6">
        <v>5310</v>
      </c>
      <c r="K31" s="6">
        <f t="shared" si="1"/>
        <v>79368.429477889105</v>
      </c>
      <c r="L31" s="6">
        <f t="shared" si="5"/>
        <v>337315.82528102869</v>
      </c>
      <c r="M31" s="6">
        <v>7936842.94778891</v>
      </c>
      <c r="N31" s="6">
        <f t="shared" si="4"/>
        <v>8189480.3435920496</v>
      </c>
      <c r="O31" s="6">
        <f>SUM($N$2:N31)</f>
        <v>36965477.050149187</v>
      </c>
    </row>
    <row r="32" spans="1:15" x14ac:dyDescent="0.2">
      <c r="A32">
        <v>31</v>
      </c>
      <c r="B32">
        <v>0</v>
      </c>
      <c r="C32">
        <v>5</v>
      </c>
      <c r="D32">
        <f>SUM($B$2:B32)</f>
        <v>680</v>
      </c>
      <c r="E32">
        <f>SUM($C$2:C32)</f>
        <v>678</v>
      </c>
      <c r="F32">
        <f t="shared" si="2"/>
        <v>-2</v>
      </c>
      <c r="G32">
        <v>0</v>
      </c>
      <c r="H32">
        <v>0</v>
      </c>
      <c r="I32">
        <f t="shared" si="0"/>
        <v>0</v>
      </c>
      <c r="J32">
        <v>1860</v>
      </c>
      <c r="K32" s="6">
        <f t="shared" si="1"/>
        <v>26202.447722959601</v>
      </c>
      <c r="L32" s="6">
        <f t="shared" si="5"/>
        <v>111360.40282257831</v>
      </c>
      <c r="M32" s="6">
        <v>2620244.7722959602</v>
      </c>
      <c r="N32" s="6">
        <f t="shared" si="4"/>
        <v>2703542.7273955788</v>
      </c>
      <c r="O32" s="6">
        <f>SUM($N$2:N32)</f>
        <v>39669019.777544767</v>
      </c>
    </row>
    <row r="33" spans="1:15" x14ac:dyDescent="0.2">
      <c r="A33">
        <v>32</v>
      </c>
      <c r="B33">
        <v>0</v>
      </c>
      <c r="C33">
        <v>1</v>
      </c>
      <c r="D33">
        <f>SUM($B$2:B33)</f>
        <v>680</v>
      </c>
      <c r="E33">
        <f>SUM($C$2:C33)</f>
        <v>679</v>
      </c>
      <c r="F33">
        <f t="shared" si="2"/>
        <v>-1</v>
      </c>
      <c r="G33">
        <v>0</v>
      </c>
      <c r="H33">
        <v>0</v>
      </c>
      <c r="I33">
        <f t="shared" si="0"/>
        <v>0</v>
      </c>
      <c r="J33">
        <v>930</v>
      </c>
      <c r="K33" s="6">
        <f t="shared" si="1"/>
        <v>7244.0704045852799</v>
      </c>
      <c r="L33" s="6">
        <f t="shared" si="5"/>
        <v>30787.299219487442</v>
      </c>
      <c r="M33" s="6">
        <v>724407.04045852798</v>
      </c>
      <c r="N33" s="6">
        <f t="shared" si="4"/>
        <v>747020.26927343011</v>
      </c>
      <c r="O33" s="6">
        <f>SUM($N$2:N33)</f>
        <v>40416040.046818197</v>
      </c>
    </row>
    <row r="34" spans="1:15" x14ac:dyDescent="0.2">
      <c r="A34">
        <v>33</v>
      </c>
      <c r="B34">
        <v>0</v>
      </c>
      <c r="C34">
        <v>1</v>
      </c>
      <c r="D34">
        <f>SUM($B$2:B34)</f>
        <v>680</v>
      </c>
      <c r="E34">
        <f>SUM($C$2:C34)</f>
        <v>680</v>
      </c>
      <c r="F34">
        <f t="shared" si="2"/>
        <v>0</v>
      </c>
      <c r="G34">
        <v>0</v>
      </c>
      <c r="H34">
        <v>0</v>
      </c>
      <c r="I34">
        <f t="shared" si="0"/>
        <v>0</v>
      </c>
      <c r="J34">
        <v>0</v>
      </c>
      <c r="K34" s="6">
        <f t="shared" si="1"/>
        <v>7244.0704045852799</v>
      </c>
      <c r="L34" s="6">
        <f t="shared" si="5"/>
        <v>30787.299219487442</v>
      </c>
      <c r="M34" s="6">
        <v>724407.04045852798</v>
      </c>
      <c r="N34" s="6">
        <f t="shared" si="4"/>
        <v>747950.26927343011</v>
      </c>
      <c r="O34" s="5">
        <f>SUM($N$2:N34)</f>
        <v>41163990.316091627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7744-EA2D-FB41-97ED-1BAFF7674D02}">
  <dimension ref="A1:J38"/>
  <sheetViews>
    <sheetView zoomScale="125" workbookViewId="0">
      <selection activeCell="H3" sqref="H3"/>
    </sheetView>
  </sheetViews>
  <sheetFormatPr baseColWidth="10" defaultRowHeight="15" x14ac:dyDescent="0.2"/>
  <cols>
    <col min="2" max="2" width="11" bestFit="1" customWidth="1"/>
    <col min="3" max="3" width="11.1640625" bestFit="1" customWidth="1"/>
    <col min="4" max="5" width="17.33203125" customWidth="1"/>
    <col min="6" max="7" width="15.83203125" customWidth="1"/>
    <col min="8" max="8" width="13.5" customWidth="1"/>
    <col min="9" max="9" width="21" customWidth="1"/>
    <col min="10" max="10" width="27.33203125" customWidth="1"/>
  </cols>
  <sheetData>
    <row r="1" spans="1:10" x14ac:dyDescent="0.2">
      <c r="A1" s="7" t="s">
        <v>141</v>
      </c>
      <c r="B1" s="7" t="s">
        <v>173</v>
      </c>
      <c r="C1" s="7" t="s">
        <v>174</v>
      </c>
      <c r="D1" s="7" t="s">
        <v>175</v>
      </c>
      <c r="E1" s="7" t="s">
        <v>224</v>
      </c>
      <c r="F1" s="7" t="s">
        <v>176</v>
      </c>
      <c r="G1" s="7" t="s">
        <v>246</v>
      </c>
      <c r="H1" s="7" t="s">
        <v>177</v>
      </c>
      <c r="I1" s="7" t="s">
        <v>178</v>
      </c>
      <c r="J1" s="7" t="s">
        <v>179</v>
      </c>
    </row>
    <row r="2" spans="1:10" x14ac:dyDescent="0.2">
      <c r="A2" s="8">
        <v>153000</v>
      </c>
      <c r="B2" s="3">
        <f>Assumptions!B16</f>
        <v>6476</v>
      </c>
      <c r="C2" s="3">
        <v>144997</v>
      </c>
      <c r="D2" s="3">
        <f>48000/12</f>
        <v>4000</v>
      </c>
      <c r="E2" s="3">
        <f>Assumptions!E142</f>
        <v>400</v>
      </c>
      <c r="F2" s="3">
        <f>Assumptions!$C$138/12</f>
        <v>9400</v>
      </c>
      <c r="G2" s="3">
        <v>20000</v>
      </c>
      <c r="H2" s="18">
        <f>B2+D2+F2-E2+G2</f>
        <v>39476</v>
      </c>
      <c r="I2" s="18">
        <f>calculation_sheet!N2-operation_exp!H2</f>
        <v>-4438924.833333333</v>
      </c>
      <c r="J2" s="18">
        <f>I2-Assumptions!B110</f>
        <v>-4588924.833333333</v>
      </c>
    </row>
    <row r="3" spans="1:10" x14ac:dyDescent="0.2">
      <c r="A3" s="8">
        <v>153000</v>
      </c>
      <c r="B3" s="3">
        <v>6476</v>
      </c>
      <c r="C3" s="3">
        <v>144997</v>
      </c>
      <c r="D3" s="3">
        <f t="shared" ref="D3:D12" si="0">48000/12</f>
        <v>4000</v>
      </c>
      <c r="E3" s="3">
        <f>Assumptions!E143</f>
        <v>900</v>
      </c>
      <c r="F3" s="3">
        <f>Assumptions!$C$138/12</f>
        <v>9400</v>
      </c>
      <c r="G3" s="3">
        <v>20000</v>
      </c>
      <c r="H3" s="18">
        <f>B3+D3+F3-E3+G3+Balance_Sheet!E2</f>
        <v>340973</v>
      </c>
      <c r="I3" s="18">
        <f>calculation_sheet!N3-operation_exp!H3</f>
        <v>-7167436.166666667</v>
      </c>
      <c r="J3" s="18">
        <f>J2+I3</f>
        <v>-11756361</v>
      </c>
    </row>
    <row r="4" spans="1:10" x14ac:dyDescent="0.2">
      <c r="A4" s="8">
        <v>153000</v>
      </c>
      <c r="B4" s="3">
        <v>6476</v>
      </c>
      <c r="C4" s="3">
        <v>144997</v>
      </c>
      <c r="D4" s="3">
        <f t="shared" si="0"/>
        <v>4000</v>
      </c>
      <c r="E4" s="3">
        <f>Assumptions!E144</f>
        <v>1460</v>
      </c>
      <c r="F4" s="3">
        <f>Assumptions!$C$138/12</f>
        <v>9400</v>
      </c>
      <c r="G4" s="3">
        <v>20000</v>
      </c>
      <c r="H4" s="18">
        <f>B4+D4+F4-E4+G4+Balance_Sheet!E3</f>
        <v>340413</v>
      </c>
      <c r="I4" s="18">
        <f>calculation_sheet!N4-operation_exp!H4</f>
        <v>-9497153.5</v>
      </c>
      <c r="J4" s="18">
        <f t="shared" ref="J4:J34" si="1">J3+I4</f>
        <v>-21253514.5</v>
      </c>
    </row>
    <row r="5" spans="1:10" x14ac:dyDescent="0.2">
      <c r="A5" s="8">
        <v>153000</v>
      </c>
      <c r="B5" s="3">
        <v>6476</v>
      </c>
      <c r="C5" s="3">
        <v>144997</v>
      </c>
      <c r="D5" s="3">
        <f t="shared" si="0"/>
        <v>4000</v>
      </c>
      <c r="E5" s="3">
        <f>Assumptions!E145</f>
        <v>2220</v>
      </c>
      <c r="F5" s="3">
        <f>Assumptions!$C$138/12</f>
        <v>9400</v>
      </c>
      <c r="G5" s="3">
        <v>35000</v>
      </c>
      <c r="H5" s="18">
        <f>B5+D5+F5-E5+G5+Balance_Sheet!E4</f>
        <v>354653</v>
      </c>
      <c r="I5" s="18">
        <f>calculation_sheet!N5-operation_exp!H5</f>
        <v>-11846323.833333334</v>
      </c>
      <c r="J5" s="18">
        <f t="shared" si="1"/>
        <v>-33099838.333333336</v>
      </c>
    </row>
    <row r="6" spans="1:10" x14ac:dyDescent="0.2">
      <c r="A6" s="8">
        <v>153000</v>
      </c>
      <c r="B6" s="3">
        <v>6476</v>
      </c>
      <c r="C6" s="3">
        <v>144997</v>
      </c>
      <c r="D6" s="3">
        <f t="shared" si="0"/>
        <v>4000</v>
      </c>
      <c r="E6" s="3">
        <f>Assumptions!E146</f>
        <v>3140</v>
      </c>
      <c r="F6" s="3">
        <f>Assumptions!$C$138/12</f>
        <v>9400</v>
      </c>
      <c r="G6" s="3">
        <v>35000</v>
      </c>
      <c r="H6" s="18">
        <f>B6+D6+F6-E6+G6+Balance_Sheet!E5</f>
        <v>353733</v>
      </c>
      <c r="I6" s="18">
        <f>calculation_sheet!N6-operation_exp!H6</f>
        <v>-15551158.736974753</v>
      </c>
      <c r="J6" s="18">
        <f>J5+I6</f>
        <v>-48650997.070308089</v>
      </c>
    </row>
    <row r="7" spans="1:10" x14ac:dyDescent="0.2">
      <c r="A7" s="8">
        <v>153000</v>
      </c>
      <c r="B7" s="3">
        <v>6476</v>
      </c>
      <c r="C7" s="3">
        <v>144997</v>
      </c>
      <c r="D7" s="3">
        <f t="shared" si="0"/>
        <v>4000</v>
      </c>
      <c r="E7" s="3">
        <f>Assumptions!E147</f>
        <v>4120</v>
      </c>
      <c r="F7" s="3">
        <f>Assumptions!$C$138/12</f>
        <v>9400</v>
      </c>
      <c r="G7" s="3">
        <v>35000</v>
      </c>
      <c r="H7" s="18">
        <f>B7+D7+F7-E7+G7+Balance_Sheet!E6</f>
        <v>352753</v>
      </c>
      <c r="I7" s="18">
        <f>calculation_sheet!N7-operation_exp!H7</f>
        <v>-13769948.803524494</v>
      </c>
      <c r="J7" s="18">
        <f t="shared" si="1"/>
        <v>-62420945.873832583</v>
      </c>
    </row>
    <row r="8" spans="1:10" x14ac:dyDescent="0.2">
      <c r="A8" s="8">
        <v>153000</v>
      </c>
      <c r="B8" s="3">
        <v>6476</v>
      </c>
      <c r="C8" s="3">
        <v>144997</v>
      </c>
      <c r="D8" s="3">
        <f t="shared" si="0"/>
        <v>4000</v>
      </c>
      <c r="E8" s="3">
        <f>Assumptions!E148</f>
        <v>5060</v>
      </c>
      <c r="F8" s="3">
        <f>Assumptions!$C$138/12</f>
        <v>9400</v>
      </c>
      <c r="G8" s="3">
        <v>35000</v>
      </c>
      <c r="H8" s="18">
        <f>B8+D8+F8-E8+G8+Balance_Sheet!E7</f>
        <v>351813</v>
      </c>
      <c r="I8" s="18">
        <f>calculation_sheet!N8-operation_exp!H8</f>
        <v>-11047822.38808416</v>
      </c>
      <c r="J8" s="18">
        <f t="shared" si="1"/>
        <v>-73468768.261916742</v>
      </c>
    </row>
    <row r="9" spans="1:10" x14ac:dyDescent="0.2">
      <c r="A9" s="8">
        <v>153000</v>
      </c>
      <c r="B9" s="3">
        <v>6476</v>
      </c>
      <c r="C9" s="3">
        <v>144997</v>
      </c>
      <c r="D9" s="3">
        <f t="shared" si="0"/>
        <v>4000</v>
      </c>
      <c r="E9" s="3">
        <f>Assumptions!E149</f>
        <v>5900</v>
      </c>
      <c r="F9" s="3">
        <f>Assumptions!$C$138/12</f>
        <v>9400</v>
      </c>
      <c r="G9" s="3">
        <v>50000</v>
      </c>
      <c r="H9" s="18">
        <f>B9+D9+F9-E9+G9+Balance_Sheet!E8</f>
        <v>365973</v>
      </c>
      <c r="I9" s="18">
        <f>calculation_sheet!N9-operation_exp!H9</f>
        <v>-2322872.770967735</v>
      </c>
      <c r="J9" s="18">
        <f t="shared" si="1"/>
        <v>-75791641.032884479</v>
      </c>
    </row>
    <row r="10" spans="1:10" x14ac:dyDescent="0.2">
      <c r="A10" s="8">
        <v>153000</v>
      </c>
      <c r="B10" s="3">
        <v>6476</v>
      </c>
      <c r="C10" s="3">
        <v>144997</v>
      </c>
      <c r="D10" s="3">
        <f t="shared" si="0"/>
        <v>4000</v>
      </c>
      <c r="E10" s="3">
        <f>Assumptions!E150</f>
        <v>6600</v>
      </c>
      <c r="F10" s="3">
        <f>Assumptions!$C$138/12</f>
        <v>9400</v>
      </c>
      <c r="G10" s="3">
        <v>50000</v>
      </c>
      <c r="H10" s="18">
        <f>B10+D10+F10-E10+G10+Balance_Sheet!E9</f>
        <v>365273</v>
      </c>
      <c r="I10" s="18">
        <f>calculation_sheet!N10-operation_exp!H10</f>
        <v>-707912.67642618716</v>
      </c>
      <c r="J10" s="18">
        <f t="shared" si="1"/>
        <v>-76499553.709310666</v>
      </c>
    </row>
    <row r="11" spans="1:10" x14ac:dyDescent="0.2">
      <c r="A11" s="8">
        <v>153000</v>
      </c>
      <c r="B11" s="3">
        <v>6476</v>
      </c>
      <c r="C11" s="3">
        <v>144997</v>
      </c>
      <c r="D11" s="3">
        <f t="shared" si="0"/>
        <v>4000</v>
      </c>
      <c r="E11" s="3">
        <f>Assumptions!E151</f>
        <v>7240</v>
      </c>
      <c r="F11" s="3">
        <f>Assumptions!$C$138/12</f>
        <v>9400</v>
      </c>
      <c r="G11" s="3">
        <v>50000</v>
      </c>
      <c r="H11" s="18">
        <f>B11+D11+F11-E11+G11+Balance_Sheet!E10</f>
        <v>364633</v>
      </c>
      <c r="I11" s="18">
        <f>calculation_sheet!N11-operation_exp!H11</f>
        <v>2759061.006952418</v>
      </c>
      <c r="J11" s="18">
        <f t="shared" si="1"/>
        <v>-73740492.702358246</v>
      </c>
    </row>
    <row r="12" spans="1:10" x14ac:dyDescent="0.2">
      <c r="A12" s="8">
        <v>153000</v>
      </c>
      <c r="B12" s="3">
        <v>6476</v>
      </c>
      <c r="C12" s="3">
        <v>144997</v>
      </c>
      <c r="D12" s="3">
        <f t="shared" si="0"/>
        <v>4000</v>
      </c>
      <c r="E12" s="3">
        <f>Assumptions!E152</f>
        <v>7540</v>
      </c>
      <c r="F12" s="3">
        <f>Assumptions!$C$138/12</f>
        <v>9400</v>
      </c>
      <c r="G12" s="3">
        <v>50000</v>
      </c>
      <c r="H12" s="18">
        <f>B12+D12+F12-E12+G12+Balance_Sheet!E11</f>
        <v>364333</v>
      </c>
      <c r="I12" s="18">
        <f>calculation_sheet!N12-operation_exp!H12</f>
        <v>17133316.800391786</v>
      </c>
      <c r="J12" s="18">
        <f t="shared" si="1"/>
        <v>-56607175.90196646</v>
      </c>
    </row>
    <row r="13" spans="1:10" x14ac:dyDescent="0.2">
      <c r="A13" s="8">
        <v>285000</v>
      </c>
      <c r="B13" s="3">
        <v>6476</v>
      </c>
      <c r="C13" s="3">
        <v>144997</v>
      </c>
      <c r="D13" s="3">
        <f>60000/12</f>
        <v>5000</v>
      </c>
      <c r="E13" s="3">
        <f>Assumptions!E153</f>
        <v>7920</v>
      </c>
      <c r="F13" s="3">
        <f>Assumptions!$C$138/12</f>
        <v>9400</v>
      </c>
      <c r="G13" s="3">
        <v>60000</v>
      </c>
      <c r="H13" s="18">
        <f>B13+D13+F13-E13+G13+Balance_Sheet!E12</f>
        <v>374953</v>
      </c>
      <c r="I13" s="18">
        <f>calculation_sheet!N13-operation_exp!H13</f>
        <v>8920895.6475812066</v>
      </c>
      <c r="J13" s="18">
        <f>J12+I13-Assumptions!B121</f>
        <v>-47726280.254385255</v>
      </c>
    </row>
    <row r="14" spans="1:10" x14ac:dyDescent="0.2">
      <c r="A14" s="8">
        <v>285000</v>
      </c>
      <c r="B14" s="3">
        <v>6476</v>
      </c>
      <c r="C14" s="3">
        <v>144997</v>
      </c>
      <c r="D14" s="3">
        <f t="shared" ref="D14:D34" si="2">60000/12</f>
        <v>5000</v>
      </c>
      <c r="E14" s="3">
        <f>Assumptions!$F$169</f>
        <v>20920</v>
      </c>
      <c r="F14" s="3">
        <f>Assumptions!$C$138/12</f>
        <v>9400</v>
      </c>
      <c r="G14" s="3">
        <v>60000</v>
      </c>
      <c r="H14" s="18">
        <f>B14+D14+F14-E14+G14+Balance_Sheet!E13</f>
        <v>493953</v>
      </c>
      <c r="I14" s="18">
        <f>calculation_sheet!N14-operation_exp!H14</f>
        <v>12526262.183931537</v>
      </c>
      <c r="J14" s="18">
        <f t="shared" si="1"/>
        <v>-35200018.070453718</v>
      </c>
    </row>
    <row r="15" spans="1:10" x14ac:dyDescent="0.2">
      <c r="A15" s="8">
        <v>285000</v>
      </c>
      <c r="B15" s="3">
        <v>6476</v>
      </c>
      <c r="C15" s="3">
        <v>144997</v>
      </c>
      <c r="D15" s="3">
        <f t="shared" si="2"/>
        <v>5000</v>
      </c>
      <c r="E15" s="3">
        <f>Assumptions!$F$169</f>
        <v>20920</v>
      </c>
      <c r="F15" s="3">
        <f>Assumptions!$C$138/12+Assumptions!$F$139/12</f>
        <v>16825</v>
      </c>
      <c r="G15" s="3">
        <v>60000</v>
      </c>
      <c r="H15" s="18">
        <f>B15+D15+F15-E15+G15+Balance_Sheet!E14</f>
        <v>501378</v>
      </c>
      <c r="I15" s="18">
        <f>calculation_sheet!N15-operation_exp!H15</f>
        <v>7239288.6492617186</v>
      </c>
      <c r="J15" s="18">
        <f t="shared" si="1"/>
        <v>-27960729.421191998</v>
      </c>
    </row>
    <row r="16" spans="1:10" x14ac:dyDescent="0.2">
      <c r="A16" s="8">
        <v>285000</v>
      </c>
      <c r="B16" s="3">
        <f>6476*2</f>
        <v>12952</v>
      </c>
      <c r="C16" s="3">
        <f>144997*1.4</f>
        <v>202995.8</v>
      </c>
      <c r="D16" s="3">
        <f t="shared" si="2"/>
        <v>5000</v>
      </c>
      <c r="E16" s="3">
        <f>Assumptions!$F$169</f>
        <v>20920</v>
      </c>
      <c r="F16" s="3">
        <f>Assumptions!$C$138/12+Assumptions!$F$139/12</f>
        <v>16825</v>
      </c>
      <c r="G16" s="3">
        <v>60000</v>
      </c>
      <c r="H16" s="18">
        <f>B16+D16+F16-E16+G16+Balance_Sheet!E15</f>
        <v>507854</v>
      </c>
      <c r="I16" s="18">
        <f>calculation_sheet!N16-operation_exp!H16</f>
        <v>9628638.4058079571</v>
      </c>
      <c r="J16" s="18">
        <f t="shared" si="1"/>
        <v>-18332091.015384041</v>
      </c>
    </row>
    <row r="17" spans="1:10" x14ac:dyDescent="0.2">
      <c r="A17" s="8">
        <v>285000</v>
      </c>
      <c r="B17" s="3">
        <f t="shared" ref="B17:B34" si="3">6476*2</f>
        <v>12952</v>
      </c>
      <c r="C17" s="3">
        <f t="shared" ref="C17:C34" si="4">144997*1.4</f>
        <v>202995.8</v>
      </c>
      <c r="D17" s="3">
        <f t="shared" si="2"/>
        <v>5000</v>
      </c>
      <c r="E17" s="3">
        <f>Assumptions!$F$169</f>
        <v>20920</v>
      </c>
      <c r="F17" s="3">
        <f>Assumptions!$C$138/12+Assumptions!$F$139/12</f>
        <v>16825</v>
      </c>
      <c r="G17" s="3">
        <v>80000</v>
      </c>
      <c r="H17" s="18">
        <f>B17+D17+F17-E17+G17+Balance_Sheet!E16</f>
        <v>585852.80000000005</v>
      </c>
      <c r="I17" s="18">
        <f>calculation_sheet!N17-operation_exp!H17</f>
        <v>-5078022.2076076707</v>
      </c>
      <c r="J17" s="18">
        <f t="shared" si="1"/>
        <v>-23410113.222991712</v>
      </c>
    </row>
    <row r="18" spans="1:10" x14ac:dyDescent="0.2">
      <c r="A18" s="8">
        <v>285000</v>
      </c>
      <c r="B18" s="3">
        <f t="shared" si="3"/>
        <v>12952</v>
      </c>
      <c r="C18" s="3">
        <f t="shared" si="4"/>
        <v>202995.8</v>
      </c>
      <c r="D18" s="3">
        <f t="shared" si="2"/>
        <v>5000</v>
      </c>
      <c r="E18" s="3">
        <f>Assumptions!$F$169</f>
        <v>20920</v>
      </c>
      <c r="F18" s="3">
        <f>Assumptions!$C$138/12+Assumptions!$F$139/12</f>
        <v>16825</v>
      </c>
      <c r="G18" s="3">
        <v>80000</v>
      </c>
      <c r="H18" s="18">
        <f>B18+D18+F18-E18+G18+Balance_Sheet!E17</f>
        <v>585852.80000000005</v>
      </c>
      <c r="I18" s="18">
        <f>calculation_sheet!N18-operation_exp!H18</f>
        <v>-8483356.0764342211</v>
      </c>
      <c r="J18" s="18">
        <f t="shared" si="1"/>
        <v>-31893469.299425934</v>
      </c>
    </row>
    <row r="19" spans="1:10" x14ac:dyDescent="0.2">
      <c r="A19" s="8">
        <v>285000</v>
      </c>
      <c r="B19" s="3">
        <f t="shared" si="3"/>
        <v>12952</v>
      </c>
      <c r="C19" s="3">
        <f t="shared" si="4"/>
        <v>202995.8</v>
      </c>
      <c r="D19" s="3">
        <f t="shared" si="2"/>
        <v>5000</v>
      </c>
      <c r="E19" s="3">
        <f>Assumptions!$F$169</f>
        <v>20920</v>
      </c>
      <c r="F19" s="3">
        <f>Assumptions!$C$138/12+Assumptions!$F$139/12</f>
        <v>16825</v>
      </c>
      <c r="G19" s="3">
        <v>80000</v>
      </c>
      <c r="H19" s="18">
        <f>B19+D19+F19-E19+G19+Balance_Sheet!E18</f>
        <v>585852.80000000005</v>
      </c>
      <c r="I19" s="18">
        <f>calculation_sheet!N19-operation_exp!H19</f>
        <v>-16740541.403209938</v>
      </c>
      <c r="J19" s="18">
        <f t="shared" si="1"/>
        <v>-48634010.702635869</v>
      </c>
    </row>
    <row r="20" spans="1:10" x14ac:dyDescent="0.2">
      <c r="A20" s="8">
        <v>285000</v>
      </c>
      <c r="B20" s="3">
        <f t="shared" si="3"/>
        <v>12952</v>
      </c>
      <c r="C20" s="3">
        <f t="shared" si="4"/>
        <v>202995.8</v>
      </c>
      <c r="D20" s="3">
        <f t="shared" si="2"/>
        <v>5000</v>
      </c>
      <c r="E20" s="3">
        <f>Assumptions!$F$169</f>
        <v>20920</v>
      </c>
      <c r="F20" s="3">
        <f>Assumptions!$C$138/12+Assumptions!$F$139/12</f>
        <v>16825</v>
      </c>
      <c r="G20" s="3">
        <v>80000</v>
      </c>
      <c r="H20" s="18">
        <f>B20+D20+F20-E20+G20+Balance_Sheet!E19</f>
        <v>585852.80000000005</v>
      </c>
      <c r="I20" s="18">
        <f>calculation_sheet!N20-operation_exp!H20</f>
        <v>-18027601.557417791</v>
      </c>
      <c r="J20" s="18">
        <f t="shared" si="1"/>
        <v>-66661612.260053664</v>
      </c>
    </row>
    <row r="21" spans="1:10" x14ac:dyDescent="0.2">
      <c r="A21" s="8">
        <v>285000</v>
      </c>
      <c r="B21" s="3">
        <f t="shared" si="3"/>
        <v>12952</v>
      </c>
      <c r="C21" s="3">
        <f t="shared" si="4"/>
        <v>202995.8</v>
      </c>
      <c r="D21" s="3">
        <f t="shared" si="2"/>
        <v>5000</v>
      </c>
      <c r="E21" s="3">
        <f>Assumptions!$F$169</f>
        <v>20920</v>
      </c>
      <c r="F21" s="3">
        <f>Assumptions!$C$138/12+Assumptions!$F$139/12</f>
        <v>16825</v>
      </c>
      <c r="G21" s="3">
        <v>80000</v>
      </c>
      <c r="H21" s="18">
        <f>B21+D21+F21-E21+G21+Balance_Sheet!E20</f>
        <v>585852.80000000005</v>
      </c>
      <c r="I21" s="18">
        <f>calculation_sheet!N21-operation_exp!H21</f>
        <v>-17726340.120357066</v>
      </c>
      <c r="J21" s="18">
        <f t="shared" si="1"/>
        <v>-84387952.380410731</v>
      </c>
    </row>
    <row r="22" spans="1:10" x14ac:dyDescent="0.2">
      <c r="A22" s="8">
        <v>285000</v>
      </c>
      <c r="B22" s="3">
        <f t="shared" si="3"/>
        <v>12952</v>
      </c>
      <c r="C22" s="3">
        <f>144997*1.4</f>
        <v>202995.8</v>
      </c>
      <c r="D22" s="3">
        <f t="shared" si="2"/>
        <v>5000</v>
      </c>
      <c r="E22" s="3">
        <f>Assumptions!$F$169</f>
        <v>20920</v>
      </c>
      <c r="F22" s="3">
        <f>Assumptions!$C$138/12+Assumptions!$F$139/12</f>
        <v>16825</v>
      </c>
      <c r="G22" s="3">
        <v>80000</v>
      </c>
      <c r="H22" s="18">
        <f>B22+D22+F22-E22+G22+Balance_Sheet!E21</f>
        <v>585852.80000000005</v>
      </c>
      <c r="I22" s="18">
        <f>calculation_sheet!N22-operation_exp!H22</f>
        <v>-10480978.66670868</v>
      </c>
      <c r="J22" s="18">
        <f t="shared" si="1"/>
        <v>-94868931.047119409</v>
      </c>
    </row>
    <row r="23" spans="1:10" x14ac:dyDescent="0.2">
      <c r="A23" s="8">
        <v>285000</v>
      </c>
      <c r="B23" s="3">
        <f t="shared" si="3"/>
        <v>12952</v>
      </c>
      <c r="C23" s="3">
        <f t="shared" si="4"/>
        <v>202995.8</v>
      </c>
      <c r="D23" s="3">
        <f t="shared" si="2"/>
        <v>5000</v>
      </c>
      <c r="E23" s="3">
        <f>Assumptions!$F$169</f>
        <v>20920</v>
      </c>
      <c r="F23" s="3">
        <f>Assumptions!$C$138/12+Assumptions!$F$139/12</f>
        <v>16825</v>
      </c>
      <c r="G23" s="3">
        <v>80000</v>
      </c>
      <c r="H23" s="18">
        <f>B23+D23+F23-E23+G23+Balance_Sheet!E22</f>
        <v>585852.80000000005</v>
      </c>
      <c r="I23" s="18">
        <f>calculation_sheet!N23-operation_exp!H23</f>
        <v>1330733.7154744368</v>
      </c>
      <c r="J23" s="18">
        <f t="shared" si="1"/>
        <v>-93538197.331644967</v>
      </c>
    </row>
    <row r="24" spans="1:10" x14ac:dyDescent="0.2">
      <c r="A24" s="8">
        <v>285000</v>
      </c>
      <c r="B24" s="3">
        <f t="shared" si="3"/>
        <v>12952</v>
      </c>
      <c r="C24" s="3">
        <f t="shared" si="4"/>
        <v>202995.8</v>
      </c>
      <c r="D24" s="3">
        <f t="shared" si="2"/>
        <v>5000</v>
      </c>
      <c r="E24" s="3">
        <f>Assumptions!$F$169</f>
        <v>20920</v>
      </c>
      <c r="F24" s="3">
        <f>Assumptions!$C$138/12+Assumptions!$F$139/12</f>
        <v>16825</v>
      </c>
      <c r="G24" s="3">
        <v>80000</v>
      </c>
      <c r="H24" s="18">
        <f>B24+D24+F24-E24+G24+Balance_Sheet!E23</f>
        <v>585852.80000000005</v>
      </c>
      <c r="I24" s="18">
        <f>calculation_sheet!N24-operation_exp!H24</f>
        <v>16340761.562955689</v>
      </c>
      <c r="J24" s="18">
        <f t="shared" si="1"/>
        <v>-77197435.768689275</v>
      </c>
    </row>
    <row r="25" spans="1:10" x14ac:dyDescent="0.2">
      <c r="A25" s="8">
        <v>285000</v>
      </c>
      <c r="B25" s="3">
        <f t="shared" si="3"/>
        <v>12952</v>
      </c>
      <c r="C25" s="3">
        <f t="shared" si="4"/>
        <v>202995.8</v>
      </c>
      <c r="D25" s="3">
        <f t="shared" si="2"/>
        <v>5000</v>
      </c>
      <c r="E25" s="3">
        <f>Assumptions!$F$169</f>
        <v>20920</v>
      </c>
      <c r="F25" s="3">
        <f>Assumptions!$C$138/12+Assumptions!$F$139/12</f>
        <v>16825</v>
      </c>
      <c r="G25" s="3">
        <v>80000</v>
      </c>
      <c r="H25" s="18">
        <f>B25+D25+F25-E25+G25+Balance_Sheet!E24</f>
        <v>585852.80000000005</v>
      </c>
      <c r="I25" s="18">
        <f>calculation_sheet!N25-operation_exp!H25</f>
        <v>7954495.8197017191</v>
      </c>
      <c r="J25" s="18">
        <f t="shared" si="1"/>
        <v>-69242939.948987558</v>
      </c>
    </row>
    <row r="26" spans="1:10" x14ac:dyDescent="0.2">
      <c r="A26" s="8">
        <v>285000</v>
      </c>
      <c r="B26" s="3">
        <f t="shared" si="3"/>
        <v>12952</v>
      </c>
      <c r="C26" s="3">
        <f t="shared" si="4"/>
        <v>202995.8</v>
      </c>
      <c r="D26" s="3">
        <f t="shared" si="2"/>
        <v>5000</v>
      </c>
      <c r="E26" s="3">
        <f>Assumptions!$F$169</f>
        <v>20920</v>
      </c>
      <c r="F26" s="3">
        <f>Assumptions!$C$138/12+Assumptions!$F$139/12</f>
        <v>16825</v>
      </c>
      <c r="G26" s="3">
        <v>100000</v>
      </c>
      <c r="H26" s="18">
        <f>B26+D26+F26-E26+G26+Balance_Sheet!E25</f>
        <v>605852.80000000005</v>
      </c>
      <c r="I26" s="18">
        <f>calculation_sheet!N26-operation_exp!H26</f>
        <v>21637226.365187414</v>
      </c>
      <c r="J26" s="18">
        <f t="shared" si="1"/>
        <v>-47605713.583800144</v>
      </c>
    </row>
    <row r="27" spans="1:10" x14ac:dyDescent="0.2">
      <c r="A27" s="8">
        <v>285000</v>
      </c>
      <c r="B27" s="3">
        <f t="shared" si="3"/>
        <v>12952</v>
      </c>
      <c r="C27" s="3">
        <f t="shared" si="4"/>
        <v>202995.8</v>
      </c>
      <c r="D27" s="3">
        <f t="shared" si="2"/>
        <v>5000</v>
      </c>
      <c r="E27" s="3">
        <f>Assumptions!$F$169</f>
        <v>20920</v>
      </c>
      <c r="F27" s="3">
        <f>Assumptions!$C$138/12+Assumptions!$F$139/12</f>
        <v>16825</v>
      </c>
      <c r="G27" s="3">
        <v>100000</v>
      </c>
      <c r="H27" s="18">
        <f>B27+D27+F27-E27+G27+Balance_Sheet!E26</f>
        <v>605852.80000000005</v>
      </c>
      <c r="I27" s="18">
        <f>calculation_sheet!N27-operation_exp!H27</f>
        <v>18651506.872752644</v>
      </c>
      <c r="J27" s="18">
        <f t="shared" si="1"/>
        <v>-28954206.7110475</v>
      </c>
    </row>
    <row r="28" spans="1:10" x14ac:dyDescent="0.2">
      <c r="A28" s="8">
        <v>285000</v>
      </c>
      <c r="B28" s="3">
        <f t="shared" si="3"/>
        <v>12952</v>
      </c>
      <c r="C28" s="3">
        <f t="shared" si="4"/>
        <v>202995.8</v>
      </c>
      <c r="D28" s="3">
        <f t="shared" si="2"/>
        <v>5000</v>
      </c>
      <c r="E28" s="3">
        <f>Assumptions!$F$169</f>
        <v>20920</v>
      </c>
      <c r="F28" s="3">
        <f>Assumptions!$C$138/12+Assumptions!$F$139/12</f>
        <v>16825</v>
      </c>
      <c r="G28" s="3">
        <v>100000</v>
      </c>
      <c r="H28" s="18">
        <f>B28+D28+F28-E28+G28+Balance_Sheet!E27</f>
        <v>605852.80000000005</v>
      </c>
      <c r="I28" s="18">
        <f>calculation_sheet!N28-operation_exp!H28</f>
        <v>16592738.30810212</v>
      </c>
      <c r="J28" s="18">
        <f t="shared" si="1"/>
        <v>-12361468.402945381</v>
      </c>
    </row>
    <row r="29" spans="1:10" x14ac:dyDescent="0.2">
      <c r="A29" s="8">
        <v>285000</v>
      </c>
      <c r="B29" s="3">
        <f t="shared" si="3"/>
        <v>12952</v>
      </c>
      <c r="C29" s="3">
        <f t="shared" si="4"/>
        <v>202995.8</v>
      </c>
      <c r="D29" s="3">
        <f t="shared" si="2"/>
        <v>5000</v>
      </c>
      <c r="E29" s="3">
        <f>Assumptions!$F$169</f>
        <v>20920</v>
      </c>
      <c r="F29" s="3">
        <f>Assumptions!$C$138/12+Assumptions!$F$139/12</f>
        <v>16825</v>
      </c>
      <c r="G29" s="3">
        <v>100000</v>
      </c>
      <c r="H29" s="18">
        <f>B29+D29+F29-E29+G29+Balance_Sheet!E28</f>
        <v>605852.80000000005</v>
      </c>
      <c r="I29" s="18">
        <f>calculation_sheet!N29-operation_exp!H29</f>
        <v>17472477.473130383</v>
      </c>
      <c r="J29" s="18">
        <f t="shared" si="1"/>
        <v>5111009.0701850019</v>
      </c>
    </row>
    <row r="30" spans="1:10" x14ac:dyDescent="0.2">
      <c r="A30" s="8">
        <v>285000</v>
      </c>
      <c r="B30" s="3">
        <f t="shared" si="3"/>
        <v>12952</v>
      </c>
      <c r="C30" s="3">
        <f t="shared" si="4"/>
        <v>202995.8</v>
      </c>
      <c r="D30" s="3">
        <f t="shared" si="2"/>
        <v>5000</v>
      </c>
      <c r="E30" s="3">
        <f>Assumptions!$F$169</f>
        <v>20920</v>
      </c>
      <c r="F30" s="3">
        <f>Assumptions!$C$138/12+Assumptions!$F$139/12</f>
        <v>16825</v>
      </c>
      <c r="G30" s="3">
        <v>100000</v>
      </c>
      <c r="H30" s="18">
        <f>B30+D30+F30-E30+G30+Balance_Sheet!E29</f>
        <v>605852.80000000005</v>
      </c>
      <c r="I30" s="18">
        <f>calculation_sheet!N30-operation_exp!H30</f>
        <v>9700884.4363721404</v>
      </c>
      <c r="J30" s="18">
        <f t="shared" si="1"/>
        <v>14811893.506557142</v>
      </c>
    </row>
    <row r="31" spans="1:10" x14ac:dyDescent="0.2">
      <c r="A31" s="8">
        <v>285000</v>
      </c>
      <c r="B31" s="3">
        <f t="shared" si="3"/>
        <v>12952</v>
      </c>
      <c r="C31" s="3">
        <f t="shared" si="4"/>
        <v>202995.8</v>
      </c>
      <c r="D31" s="3">
        <f t="shared" si="2"/>
        <v>5000</v>
      </c>
      <c r="E31" s="3">
        <f>Assumptions!$F$169</f>
        <v>20920</v>
      </c>
      <c r="F31" s="3">
        <f>Assumptions!$C$138/12+Assumptions!$F$139/12</f>
        <v>16825</v>
      </c>
      <c r="G31" s="3">
        <v>100000</v>
      </c>
      <c r="H31" s="18">
        <f>B31+D31+F31-E31+G31+Balance_Sheet!E30</f>
        <v>605852.80000000005</v>
      </c>
      <c r="I31" s="18">
        <f>calculation_sheet!N31-operation_exp!H31</f>
        <v>7583627.5435920497</v>
      </c>
      <c r="J31" s="18">
        <f t="shared" si="1"/>
        <v>22395521.050149191</v>
      </c>
    </row>
    <row r="32" spans="1:10" x14ac:dyDescent="0.2">
      <c r="A32" s="8">
        <v>285000</v>
      </c>
      <c r="B32" s="3">
        <f t="shared" si="3"/>
        <v>12952</v>
      </c>
      <c r="C32" s="3">
        <f t="shared" si="4"/>
        <v>202995.8</v>
      </c>
      <c r="D32" s="3">
        <f t="shared" si="2"/>
        <v>5000</v>
      </c>
      <c r="E32" s="3">
        <f>Assumptions!$F$169</f>
        <v>20920</v>
      </c>
      <c r="F32" s="3">
        <f>Assumptions!$C$138/12+Assumptions!$F$139/12</f>
        <v>16825</v>
      </c>
      <c r="G32" s="3">
        <v>100000</v>
      </c>
      <c r="H32" s="18">
        <f>B32+D32+F32-E32+G32+Balance_Sheet!E31</f>
        <v>605852.80000000005</v>
      </c>
      <c r="I32" s="18">
        <f>calculation_sheet!N32-operation_exp!H32</f>
        <v>2097689.9273955785</v>
      </c>
      <c r="J32" s="18">
        <f t="shared" si="1"/>
        <v>24493210.97754477</v>
      </c>
    </row>
    <row r="33" spans="1:10" x14ac:dyDescent="0.2">
      <c r="A33" s="8">
        <v>285000</v>
      </c>
      <c r="B33" s="3">
        <f t="shared" si="3"/>
        <v>12952</v>
      </c>
      <c r="C33" s="3">
        <f t="shared" si="4"/>
        <v>202995.8</v>
      </c>
      <c r="D33" s="3">
        <f t="shared" si="2"/>
        <v>5000</v>
      </c>
      <c r="E33" s="3">
        <f>Assumptions!$F$169</f>
        <v>20920</v>
      </c>
      <c r="F33" s="3">
        <f>Assumptions!$C$138/12+Assumptions!$F$139/12</f>
        <v>16825</v>
      </c>
      <c r="G33" s="3">
        <v>100000</v>
      </c>
      <c r="H33" s="18">
        <f>B33+D33+F33-E33+G33+Balance_Sheet!E32</f>
        <v>605852.80000000005</v>
      </c>
      <c r="I33" s="18">
        <f>calculation_sheet!N33-operation_exp!H33</f>
        <v>141167.46927343006</v>
      </c>
      <c r="J33" s="18">
        <f t="shared" si="1"/>
        <v>24634378.446818199</v>
      </c>
    </row>
    <row r="34" spans="1:10" x14ac:dyDescent="0.2">
      <c r="A34" s="8">
        <v>285000</v>
      </c>
      <c r="B34" s="3">
        <f t="shared" si="3"/>
        <v>12952</v>
      </c>
      <c r="C34" s="3">
        <f t="shared" si="4"/>
        <v>202995.8</v>
      </c>
      <c r="D34" s="3">
        <f t="shared" si="2"/>
        <v>5000</v>
      </c>
      <c r="E34" s="3">
        <f>Assumptions!$F$169</f>
        <v>20920</v>
      </c>
      <c r="F34" s="3">
        <f>Assumptions!$C$138/12+Assumptions!$F$139/12</f>
        <v>16825</v>
      </c>
      <c r="G34" s="3">
        <v>100000</v>
      </c>
      <c r="H34" s="18">
        <f>B34+D34+F34-E34+G34+Balance_Sheet!E33</f>
        <v>605852.80000000005</v>
      </c>
      <c r="I34" s="18">
        <f>calculation_sheet!N34-operation_exp!H34</f>
        <v>142097.46927343006</v>
      </c>
      <c r="J34" s="18">
        <f t="shared" si="1"/>
        <v>24776475.916091628</v>
      </c>
    </row>
    <row r="35" spans="1:10" x14ac:dyDescent="0.2">
      <c r="A35" s="8"/>
      <c r="H35" s="18"/>
    </row>
    <row r="36" spans="1:10" x14ac:dyDescent="0.2">
      <c r="A36" s="8"/>
    </row>
    <row r="37" spans="1:10" x14ac:dyDescent="0.2">
      <c r="A37" s="8"/>
    </row>
    <row r="38" spans="1:10" x14ac:dyDescent="0.2">
      <c r="A38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DB33-E463-4241-AC8D-2A4F8DAE396F}">
  <dimension ref="A1:AA315"/>
  <sheetViews>
    <sheetView topLeftCell="B1" workbookViewId="0">
      <selection activeCell="AA4" sqref="AA4"/>
    </sheetView>
  </sheetViews>
  <sheetFormatPr baseColWidth="10" defaultRowHeight="15" x14ac:dyDescent="0.2"/>
  <sheetData>
    <row r="1" spans="1:27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55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</row>
    <row r="2" spans="1:27" ht="16" x14ac:dyDescent="0.2">
      <c r="A2">
        <v>1</v>
      </c>
      <c r="B2" t="s">
        <v>101</v>
      </c>
      <c r="C2">
        <v>1</v>
      </c>
      <c r="D2" t="s">
        <v>102</v>
      </c>
      <c r="E2">
        <v>1</v>
      </c>
      <c r="F2">
        <v>5</v>
      </c>
      <c r="G2">
        <v>4</v>
      </c>
      <c r="H2">
        <v>338000</v>
      </c>
      <c r="I2">
        <v>27040</v>
      </c>
      <c r="J2">
        <v>4447.8784912198998</v>
      </c>
      <c r="K2">
        <v>27040</v>
      </c>
      <c r="L2">
        <v>396527.87849121902</v>
      </c>
      <c r="M2">
        <v>450.666666666666</v>
      </c>
      <c r="N2">
        <v>2027.99999999999</v>
      </c>
      <c r="O2">
        <v>240</v>
      </c>
      <c r="P2">
        <v>200</v>
      </c>
      <c r="Q2">
        <v>2918.6666666666601</v>
      </c>
      <c r="R2">
        <v>3380</v>
      </c>
      <c r="S2">
        <v>4758.3345418946301</v>
      </c>
      <c r="T2">
        <v>10140</v>
      </c>
      <c r="U2">
        <v>11895.836354736501</v>
      </c>
      <c r="V2" s="10">
        <f>L2-H2</f>
        <v>58527.878491219017</v>
      </c>
    </row>
    <row r="3" spans="1:27" ht="16" x14ac:dyDescent="0.2">
      <c r="A3">
        <v>4</v>
      </c>
      <c r="B3" t="s">
        <v>101</v>
      </c>
      <c r="C3">
        <v>1</v>
      </c>
      <c r="D3" t="s">
        <v>102</v>
      </c>
      <c r="E3">
        <v>1</v>
      </c>
      <c r="F3">
        <v>5</v>
      </c>
      <c r="G3">
        <v>4</v>
      </c>
      <c r="H3">
        <v>338000</v>
      </c>
      <c r="I3">
        <v>27040</v>
      </c>
      <c r="J3">
        <v>4447.8784912198998</v>
      </c>
      <c r="K3">
        <v>27040</v>
      </c>
      <c r="L3">
        <v>396527.87849121902</v>
      </c>
      <c r="M3">
        <v>450.666666666666</v>
      </c>
      <c r="N3">
        <v>2027.99999999999</v>
      </c>
      <c r="O3">
        <v>240</v>
      </c>
      <c r="P3">
        <v>200</v>
      </c>
      <c r="Q3">
        <v>2918.6666666666601</v>
      </c>
      <c r="R3">
        <v>3380</v>
      </c>
      <c r="S3">
        <v>4758.3345418946301</v>
      </c>
      <c r="T3">
        <v>10140</v>
      </c>
      <c r="U3">
        <v>11895.836354736501</v>
      </c>
      <c r="V3" s="10">
        <f>L3-H3</f>
        <v>58527.878491219017</v>
      </c>
      <c r="Z3" t="s">
        <v>183</v>
      </c>
      <c r="AA3" t="s">
        <v>184</v>
      </c>
    </row>
    <row r="4" spans="1:27" ht="16" x14ac:dyDescent="0.2">
      <c r="V4" s="11">
        <f>SUM(V2:V3)</f>
        <v>117055.75698243803</v>
      </c>
      <c r="Z4">
        <v>5</v>
      </c>
      <c r="AA4">
        <f>SUMIF(F2:F314,Z4,H2:H314)</f>
        <v>676000</v>
      </c>
    </row>
    <row r="5" spans="1:27" ht="16" x14ac:dyDescent="0.2">
      <c r="A5">
        <v>2</v>
      </c>
      <c r="B5" t="s">
        <v>101</v>
      </c>
      <c r="C5">
        <v>1</v>
      </c>
      <c r="D5" t="s">
        <v>102</v>
      </c>
      <c r="E5">
        <v>1</v>
      </c>
      <c r="F5">
        <v>6</v>
      </c>
      <c r="G5">
        <v>5</v>
      </c>
      <c r="H5">
        <v>338000</v>
      </c>
      <c r="I5">
        <v>27040</v>
      </c>
      <c r="J5">
        <v>5568.9637343662098</v>
      </c>
      <c r="K5">
        <v>27040</v>
      </c>
      <c r="L5">
        <v>397648.963734366</v>
      </c>
      <c r="M5">
        <v>563.33333333333303</v>
      </c>
      <c r="N5">
        <v>2534.99999999999</v>
      </c>
      <c r="O5">
        <v>300</v>
      </c>
      <c r="P5">
        <v>250</v>
      </c>
      <c r="Q5">
        <v>3648.3333333333298</v>
      </c>
      <c r="R5">
        <v>3380</v>
      </c>
      <c r="S5">
        <v>4771.78756481239</v>
      </c>
      <c r="T5">
        <v>10140</v>
      </c>
      <c r="U5">
        <v>11929.468912030899</v>
      </c>
      <c r="V5" s="10">
        <f t="shared" ref="V5:V15" si="0">L5-H5</f>
        <v>59648.963734366</v>
      </c>
      <c r="Z5">
        <v>6</v>
      </c>
      <c r="AA5">
        <f>SUMIF(F3:F315,Z5,H3:H315)</f>
        <v>4138000</v>
      </c>
    </row>
    <row r="6" spans="1:27" ht="16" x14ac:dyDescent="0.2">
      <c r="A6">
        <v>3</v>
      </c>
      <c r="B6" t="s">
        <v>101</v>
      </c>
      <c r="C6">
        <v>1</v>
      </c>
      <c r="D6" t="s">
        <v>102</v>
      </c>
      <c r="E6">
        <v>1</v>
      </c>
      <c r="F6">
        <v>6</v>
      </c>
      <c r="G6">
        <v>5</v>
      </c>
      <c r="H6">
        <v>338000</v>
      </c>
      <c r="I6">
        <v>27040</v>
      </c>
      <c r="J6">
        <v>5568.9637343662098</v>
      </c>
      <c r="K6">
        <v>27040</v>
      </c>
      <c r="L6">
        <v>397648.963734366</v>
      </c>
      <c r="M6">
        <v>563.33333333333303</v>
      </c>
      <c r="N6">
        <v>2534.99999999999</v>
      </c>
      <c r="O6">
        <v>300</v>
      </c>
      <c r="P6">
        <v>250</v>
      </c>
      <c r="Q6">
        <v>3648.3333333333298</v>
      </c>
      <c r="R6">
        <v>3380</v>
      </c>
      <c r="S6">
        <v>4771.78756481239</v>
      </c>
      <c r="T6">
        <v>10140</v>
      </c>
      <c r="U6">
        <v>11929.468912030899</v>
      </c>
      <c r="V6" s="10">
        <f t="shared" si="0"/>
        <v>59648.963734366</v>
      </c>
      <c r="Z6">
        <v>7</v>
      </c>
      <c r="AA6">
        <f t="shared" ref="AA6:AA15" si="1">SUMIF(F4:F316,Z6,H4:H316)</f>
        <v>6481000</v>
      </c>
    </row>
    <row r="7" spans="1:27" ht="16" x14ac:dyDescent="0.2">
      <c r="A7">
        <v>6</v>
      </c>
      <c r="B7" t="s">
        <v>101</v>
      </c>
      <c r="C7">
        <v>1</v>
      </c>
      <c r="D7" t="s">
        <v>103</v>
      </c>
      <c r="E7">
        <v>1</v>
      </c>
      <c r="F7">
        <v>6</v>
      </c>
      <c r="G7">
        <v>5</v>
      </c>
      <c r="H7">
        <v>443000</v>
      </c>
      <c r="I7">
        <v>26580</v>
      </c>
      <c r="J7">
        <v>8199.7467798370599</v>
      </c>
      <c r="K7">
        <v>26580</v>
      </c>
      <c r="L7">
        <v>504359.74677983701</v>
      </c>
      <c r="M7">
        <v>738.33333333333303</v>
      </c>
      <c r="N7">
        <v>3322.49999999999</v>
      </c>
      <c r="O7">
        <v>300</v>
      </c>
      <c r="P7">
        <v>250</v>
      </c>
      <c r="Q7">
        <v>4610.8333333333303</v>
      </c>
      <c r="R7">
        <v>4430</v>
      </c>
      <c r="S7">
        <v>6052.3169613580403</v>
      </c>
      <c r="T7">
        <v>13290</v>
      </c>
      <c r="U7">
        <v>15130.7924033951</v>
      </c>
      <c r="V7" s="10">
        <f t="shared" si="0"/>
        <v>61359.746779837005</v>
      </c>
      <c r="Z7">
        <v>8</v>
      </c>
      <c r="AA7">
        <f t="shared" si="1"/>
        <v>11971000</v>
      </c>
    </row>
    <row r="8" spans="1:27" ht="16" x14ac:dyDescent="0.2">
      <c r="A8">
        <v>7</v>
      </c>
      <c r="B8" t="s">
        <v>101</v>
      </c>
      <c r="C8">
        <v>1</v>
      </c>
      <c r="D8" t="s">
        <v>103</v>
      </c>
      <c r="E8">
        <v>1</v>
      </c>
      <c r="F8">
        <v>6</v>
      </c>
      <c r="G8">
        <v>5</v>
      </c>
      <c r="H8">
        <v>443000</v>
      </c>
      <c r="I8">
        <v>26580</v>
      </c>
      <c r="J8">
        <v>8199.7467798370599</v>
      </c>
      <c r="K8">
        <v>26580</v>
      </c>
      <c r="L8">
        <v>504359.74677983701</v>
      </c>
      <c r="M8">
        <v>738.33333333333303</v>
      </c>
      <c r="N8">
        <v>3322.49999999999</v>
      </c>
      <c r="O8">
        <v>300</v>
      </c>
      <c r="P8">
        <v>250</v>
      </c>
      <c r="Q8">
        <v>4610.8333333333303</v>
      </c>
      <c r="R8">
        <v>4430</v>
      </c>
      <c r="S8">
        <v>6052.3169613580403</v>
      </c>
      <c r="T8">
        <v>13290</v>
      </c>
      <c r="U8">
        <v>15130.7924033951</v>
      </c>
      <c r="V8" s="10">
        <f t="shared" si="0"/>
        <v>61359.746779837005</v>
      </c>
      <c r="Z8">
        <v>9</v>
      </c>
      <c r="AA8">
        <f t="shared" si="1"/>
        <v>11272000</v>
      </c>
    </row>
    <row r="9" spans="1:27" ht="16" x14ac:dyDescent="0.2">
      <c r="A9">
        <v>8</v>
      </c>
      <c r="B9" t="s">
        <v>101</v>
      </c>
      <c r="C9">
        <v>1</v>
      </c>
      <c r="D9" t="s">
        <v>103</v>
      </c>
      <c r="E9">
        <v>1</v>
      </c>
      <c r="F9">
        <v>6</v>
      </c>
      <c r="G9">
        <v>5</v>
      </c>
      <c r="H9">
        <v>443000</v>
      </c>
      <c r="I9">
        <v>26580</v>
      </c>
      <c r="J9">
        <v>8199.7467798370599</v>
      </c>
      <c r="K9">
        <v>26580</v>
      </c>
      <c r="L9">
        <v>504359.74677983701</v>
      </c>
      <c r="M9">
        <v>738.33333333333303</v>
      </c>
      <c r="N9">
        <v>3322.49999999999</v>
      </c>
      <c r="O9">
        <v>300</v>
      </c>
      <c r="P9">
        <v>250</v>
      </c>
      <c r="Q9">
        <v>4610.8333333333303</v>
      </c>
      <c r="R9">
        <v>4430</v>
      </c>
      <c r="S9">
        <v>6052.3169613580403</v>
      </c>
      <c r="T9">
        <v>13290</v>
      </c>
      <c r="U9">
        <v>15130.7924033951</v>
      </c>
      <c r="V9" s="10">
        <f t="shared" si="0"/>
        <v>61359.746779837005</v>
      </c>
      <c r="Z9">
        <v>10</v>
      </c>
      <c r="AA9">
        <f t="shared" si="1"/>
        <v>12414000</v>
      </c>
    </row>
    <row r="10" spans="1:27" ht="16" x14ac:dyDescent="0.2">
      <c r="A10">
        <v>9</v>
      </c>
      <c r="B10" t="s">
        <v>101</v>
      </c>
      <c r="C10">
        <v>1</v>
      </c>
      <c r="D10" t="s">
        <v>103</v>
      </c>
      <c r="E10">
        <v>1</v>
      </c>
      <c r="F10">
        <v>6</v>
      </c>
      <c r="G10">
        <v>5</v>
      </c>
      <c r="H10">
        <v>443000</v>
      </c>
      <c r="I10">
        <v>26580</v>
      </c>
      <c r="J10">
        <v>8199.7467798370599</v>
      </c>
      <c r="K10">
        <v>26580</v>
      </c>
      <c r="L10">
        <v>504359.74677983701</v>
      </c>
      <c r="M10">
        <v>738.33333333333303</v>
      </c>
      <c r="N10">
        <v>3322.49999999999</v>
      </c>
      <c r="O10">
        <v>300</v>
      </c>
      <c r="P10">
        <v>250</v>
      </c>
      <c r="Q10">
        <v>4610.8333333333303</v>
      </c>
      <c r="R10">
        <v>4430</v>
      </c>
      <c r="S10">
        <v>6052.3169613580403</v>
      </c>
      <c r="T10">
        <v>13290</v>
      </c>
      <c r="U10">
        <v>15130.7924033951</v>
      </c>
      <c r="V10" s="10">
        <f t="shared" si="0"/>
        <v>61359.746779837005</v>
      </c>
      <c r="Z10">
        <f>Z9+1</f>
        <v>11</v>
      </c>
      <c r="AA10">
        <f t="shared" si="1"/>
        <v>20726000</v>
      </c>
    </row>
    <row r="11" spans="1:27" ht="16" x14ac:dyDescent="0.2">
      <c r="A11">
        <v>11</v>
      </c>
      <c r="B11" t="s">
        <v>101</v>
      </c>
      <c r="C11">
        <v>1</v>
      </c>
      <c r="D11" t="s">
        <v>102</v>
      </c>
      <c r="E11">
        <v>2</v>
      </c>
      <c r="F11">
        <v>6</v>
      </c>
      <c r="G11">
        <v>4</v>
      </c>
      <c r="H11">
        <v>338000</v>
      </c>
      <c r="I11">
        <v>27040</v>
      </c>
      <c r="J11">
        <v>4447.8784912198998</v>
      </c>
      <c r="K11">
        <v>27040</v>
      </c>
      <c r="L11">
        <v>396527.87849121902</v>
      </c>
      <c r="M11">
        <v>450.666666666666</v>
      </c>
      <c r="N11">
        <v>2027.99999999999</v>
      </c>
      <c r="O11">
        <v>240</v>
      </c>
      <c r="P11">
        <v>200</v>
      </c>
      <c r="Q11">
        <v>2918.6666666666601</v>
      </c>
      <c r="R11">
        <v>3380</v>
      </c>
      <c r="S11">
        <v>4758.3345418946301</v>
      </c>
      <c r="T11">
        <v>10140</v>
      </c>
      <c r="U11">
        <v>11895.836354736501</v>
      </c>
      <c r="V11" s="10">
        <f t="shared" si="0"/>
        <v>58527.878491219017</v>
      </c>
      <c r="Z11">
        <f t="shared" ref="Z11:Z34" si="2">Z10+1</f>
        <v>12</v>
      </c>
      <c r="AA11">
        <f t="shared" si="1"/>
        <v>11738000</v>
      </c>
    </row>
    <row r="12" spans="1:27" ht="16" x14ac:dyDescent="0.2">
      <c r="A12">
        <v>13</v>
      </c>
      <c r="B12" t="s">
        <v>101</v>
      </c>
      <c r="C12">
        <v>1</v>
      </c>
      <c r="D12" t="s">
        <v>102</v>
      </c>
      <c r="E12">
        <v>2</v>
      </c>
      <c r="F12">
        <v>6</v>
      </c>
      <c r="G12">
        <v>4</v>
      </c>
      <c r="H12">
        <v>338000</v>
      </c>
      <c r="I12">
        <v>27040</v>
      </c>
      <c r="J12">
        <v>4447.8784912198998</v>
      </c>
      <c r="K12">
        <v>27040</v>
      </c>
      <c r="L12">
        <v>396527.87849121902</v>
      </c>
      <c r="M12">
        <v>450.666666666666</v>
      </c>
      <c r="N12">
        <v>2027.99999999999</v>
      </c>
      <c r="O12">
        <v>240</v>
      </c>
      <c r="P12">
        <v>200</v>
      </c>
      <c r="Q12">
        <v>2918.6666666666601</v>
      </c>
      <c r="R12">
        <v>3380</v>
      </c>
      <c r="S12">
        <v>4758.3345418946301</v>
      </c>
      <c r="T12">
        <v>10140</v>
      </c>
      <c r="U12">
        <v>11895.836354736501</v>
      </c>
      <c r="V12" s="10">
        <f t="shared" si="0"/>
        <v>58527.878491219017</v>
      </c>
      <c r="Z12">
        <f t="shared" si="2"/>
        <v>13</v>
      </c>
      <c r="AA12">
        <f t="shared" si="1"/>
        <v>13848000</v>
      </c>
    </row>
    <row r="13" spans="1:27" ht="16" x14ac:dyDescent="0.2">
      <c r="A13">
        <v>15</v>
      </c>
      <c r="B13" t="s">
        <v>101</v>
      </c>
      <c r="C13">
        <v>1</v>
      </c>
      <c r="D13" t="s">
        <v>102</v>
      </c>
      <c r="E13">
        <v>2</v>
      </c>
      <c r="F13">
        <v>6</v>
      </c>
      <c r="G13">
        <v>4</v>
      </c>
      <c r="H13">
        <v>338000</v>
      </c>
      <c r="I13">
        <v>27040</v>
      </c>
      <c r="J13">
        <v>4447.8784912198998</v>
      </c>
      <c r="K13">
        <v>27040</v>
      </c>
      <c r="L13">
        <v>396527.87849121902</v>
      </c>
      <c r="M13">
        <v>450.666666666666</v>
      </c>
      <c r="N13">
        <v>2027.99999999999</v>
      </c>
      <c r="O13">
        <v>240</v>
      </c>
      <c r="P13">
        <v>200</v>
      </c>
      <c r="Q13">
        <v>2918.6666666666601</v>
      </c>
      <c r="R13">
        <v>3380</v>
      </c>
      <c r="S13">
        <v>4758.3345418946301</v>
      </c>
      <c r="T13">
        <v>10140</v>
      </c>
      <c r="U13">
        <v>11895.836354736501</v>
      </c>
      <c r="V13" s="10">
        <f t="shared" si="0"/>
        <v>58527.878491219017</v>
      </c>
      <c r="Z13">
        <f t="shared" si="2"/>
        <v>14</v>
      </c>
      <c r="AA13">
        <f t="shared" si="1"/>
        <v>10281000</v>
      </c>
    </row>
    <row r="14" spans="1:27" ht="16" x14ac:dyDescent="0.2">
      <c r="A14">
        <v>28</v>
      </c>
      <c r="B14" t="s">
        <v>101</v>
      </c>
      <c r="C14">
        <v>1</v>
      </c>
      <c r="D14" t="s">
        <v>102</v>
      </c>
      <c r="E14">
        <v>3</v>
      </c>
      <c r="F14">
        <v>6</v>
      </c>
      <c r="G14">
        <v>3</v>
      </c>
      <c r="H14">
        <v>338000</v>
      </c>
      <c r="I14">
        <v>27040</v>
      </c>
      <c r="J14">
        <v>3330.4514135514601</v>
      </c>
      <c r="K14">
        <v>27040</v>
      </c>
      <c r="L14">
        <v>395410.451413551</v>
      </c>
      <c r="M14">
        <v>338</v>
      </c>
      <c r="N14">
        <v>1520.99999999999</v>
      </c>
      <c r="O14">
        <v>180</v>
      </c>
      <c r="P14">
        <v>150</v>
      </c>
      <c r="Q14">
        <v>2189</v>
      </c>
      <c r="R14">
        <v>3380</v>
      </c>
      <c r="S14">
        <v>4744.9254169626101</v>
      </c>
      <c r="T14">
        <v>10140</v>
      </c>
      <c r="U14">
        <v>11862.3135424065</v>
      </c>
      <c r="V14" s="10">
        <f t="shared" si="0"/>
        <v>57410.451413550996</v>
      </c>
      <c r="Z14">
        <f t="shared" si="2"/>
        <v>15</v>
      </c>
      <c r="AA14">
        <f t="shared" si="1"/>
        <v>13615000</v>
      </c>
    </row>
    <row r="15" spans="1:27" ht="16" x14ac:dyDescent="0.2">
      <c r="A15">
        <v>31</v>
      </c>
      <c r="B15" t="s">
        <v>101</v>
      </c>
      <c r="C15">
        <v>1</v>
      </c>
      <c r="D15" t="s">
        <v>102</v>
      </c>
      <c r="E15">
        <v>3</v>
      </c>
      <c r="F15">
        <v>6</v>
      </c>
      <c r="G15">
        <v>3</v>
      </c>
      <c r="H15">
        <v>338000</v>
      </c>
      <c r="I15">
        <v>27040</v>
      </c>
      <c r="J15">
        <v>3330.4514135514601</v>
      </c>
      <c r="K15">
        <v>27040</v>
      </c>
      <c r="L15">
        <v>395410.451413551</v>
      </c>
      <c r="M15">
        <v>338</v>
      </c>
      <c r="N15">
        <v>1520.99999999999</v>
      </c>
      <c r="O15">
        <v>180</v>
      </c>
      <c r="P15">
        <v>150</v>
      </c>
      <c r="Q15">
        <v>2189</v>
      </c>
      <c r="R15">
        <v>3380</v>
      </c>
      <c r="S15">
        <v>4744.9254169626101</v>
      </c>
      <c r="T15">
        <v>10140</v>
      </c>
      <c r="U15">
        <v>11862.3135424065</v>
      </c>
      <c r="V15" s="10">
        <f t="shared" si="0"/>
        <v>57410.451413550996</v>
      </c>
      <c r="Z15">
        <f t="shared" si="2"/>
        <v>16</v>
      </c>
      <c r="AA15">
        <f t="shared" si="1"/>
        <v>6924000</v>
      </c>
    </row>
    <row r="16" spans="1:27" ht="16" x14ac:dyDescent="0.2">
      <c r="V16" s="11">
        <f>SUM(V5:V15)</f>
        <v>655141.45288883906</v>
      </c>
      <c r="Z16">
        <f t="shared" si="2"/>
        <v>17</v>
      </c>
      <c r="AA16">
        <f>SUMIF(F14:F326,Z16,H14:H326)+SUM(final_phase2_full_costs!H2:H3)</f>
        <v>6143000</v>
      </c>
    </row>
    <row r="17" spans="1:27" ht="16" x14ac:dyDescent="0.2">
      <c r="A17">
        <v>5</v>
      </c>
      <c r="B17" t="s">
        <v>101</v>
      </c>
      <c r="C17">
        <v>1</v>
      </c>
      <c r="D17" t="s">
        <v>103</v>
      </c>
      <c r="E17">
        <v>1</v>
      </c>
      <c r="F17">
        <v>7</v>
      </c>
      <c r="G17">
        <v>6</v>
      </c>
      <c r="H17">
        <v>443000</v>
      </c>
      <c r="I17">
        <v>26580</v>
      </c>
      <c r="J17">
        <v>9857.8198507783309</v>
      </c>
      <c r="K17">
        <v>26580</v>
      </c>
      <c r="L17">
        <v>506017.81985077797</v>
      </c>
      <c r="M17">
        <v>886</v>
      </c>
      <c r="N17">
        <v>3986.99999999999</v>
      </c>
      <c r="O17">
        <v>360</v>
      </c>
      <c r="P17">
        <v>300</v>
      </c>
      <c r="Q17">
        <v>5533</v>
      </c>
      <c r="R17">
        <v>4430</v>
      </c>
      <c r="S17">
        <v>6072.2138382093399</v>
      </c>
      <c r="T17">
        <v>13290</v>
      </c>
      <c r="U17">
        <v>15180.534595523301</v>
      </c>
      <c r="V17" s="10">
        <f t="shared" ref="V17:V32" si="3">L17-H17</f>
        <v>63017.819850777974</v>
      </c>
      <c r="Z17">
        <f t="shared" si="2"/>
        <v>18</v>
      </c>
      <c r="AA17">
        <f>SUMIF(F15:F327,Z17,H15:H327)+SUM(final_phase2_full_costs!H5:H11)</f>
        <v>4919000</v>
      </c>
    </row>
    <row r="18" spans="1:27" ht="16" x14ac:dyDescent="0.2">
      <c r="A18">
        <v>10</v>
      </c>
      <c r="B18" t="s">
        <v>101</v>
      </c>
      <c r="C18">
        <v>1</v>
      </c>
      <c r="D18" t="s">
        <v>104</v>
      </c>
      <c r="E18">
        <v>1</v>
      </c>
      <c r="F18">
        <v>7</v>
      </c>
      <c r="G18">
        <v>6</v>
      </c>
      <c r="H18">
        <v>676000</v>
      </c>
      <c r="I18">
        <v>33800</v>
      </c>
      <c r="J18">
        <v>16693.871778868899</v>
      </c>
      <c r="K18">
        <v>33800</v>
      </c>
      <c r="L18">
        <v>760293.87177886895</v>
      </c>
      <c r="M18">
        <v>1352</v>
      </c>
      <c r="N18">
        <v>6083.99999999999</v>
      </c>
      <c r="O18">
        <v>360</v>
      </c>
      <c r="P18">
        <v>300</v>
      </c>
      <c r="Q18">
        <v>8095.99999999999</v>
      </c>
      <c r="R18">
        <v>6760</v>
      </c>
      <c r="S18">
        <v>9123.5264613464205</v>
      </c>
      <c r="T18">
        <v>20280</v>
      </c>
      <c r="U18">
        <v>22808.816153365999</v>
      </c>
      <c r="V18" s="10">
        <f t="shared" si="3"/>
        <v>84293.871778868954</v>
      </c>
      <c r="Z18">
        <f t="shared" si="2"/>
        <v>19</v>
      </c>
      <c r="AA18">
        <f>SUMIF(final_phase2_full_costs!F2:F397,Z18,final_phase2_full_costs!H2:H397)</f>
        <v>5024000</v>
      </c>
    </row>
    <row r="19" spans="1:27" ht="16" x14ac:dyDescent="0.2">
      <c r="A19">
        <v>12</v>
      </c>
      <c r="B19" t="s">
        <v>101</v>
      </c>
      <c r="C19">
        <v>1</v>
      </c>
      <c r="D19" t="s">
        <v>102</v>
      </c>
      <c r="E19">
        <v>2</v>
      </c>
      <c r="F19">
        <v>7</v>
      </c>
      <c r="G19">
        <v>5</v>
      </c>
      <c r="H19">
        <v>338000</v>
      </c>
      <c r="I19">
        <v>27040</v>
      </c>
      <c r="J19">
        <v>5568.9637343662098</v>
      </c>
      <c r="K19">
        <v>27040</v>
      </c>
      <c r="L19">
        <v>397648.963734366</v>
      </c>
      <c r="M19">
        <v>563.33333333333303</v>
      </c>
      <c r="N19">
        <v>2534.99999999999</v>
      </c>
      <c r="O19">
        <v>300</v>
      </c>
      <c r="P19">
        <v>250</v>
      </c>
      <c r="Q19">
        <v>3648.3333333333298</v>
      </c>
      <c r="R19">
        <v>3380</v>
      </c>
      <c r="S19">
        <v>4771.78756481239</v>
      </c>
      <c r="T19">
        <v>10140</v>
      </c>
      <c r="U19">
        <v>11929.468912030899</v>
      </c>
      <c r="V19" s="10">
        <f t="shared" si="3"/>
        <v>59648.963734366</v>
      </c>
      <c r="Z19">
        <f t="shared" si="2"/>
        <v>20</v>
      </c>
      <c r="AA19">
        <f>SUMIF(final_phase2_full_costs!F3:F398,Z19,final_phase2_full_costs!H3:H398)</f>
        <v>4581000</v>
      </c>
    </row>
    <row r="20" spans="1:27" ht="16" x14ac:dyDescent="0.2">
      <c r="A20">
        <v>14</v>
      </c>
      <c r="B20" t="s">
        <v>101</v>
      </c>
      <c r="C20">
        <v>1</v>
      </c>
      <c r="D20" t="s">
        <v>102</v>
      </c>
      <c r="E20">
        <v>2</v>
      </c>
      <c r="F20">
        <v>7</v>
      </c>
      <c r="G20">
        <v>5</v>
      </c>
      <c r="H20">
        <v>338000</v>
      </c>
      <c r="I20">
        <v>27040</v>
      </c>
      <c r="J20">
        <v>5568.9637343662098</v>
      </c>
      <c r="K20">
        <v>27040</v>
      </c>
      <c r="L20">
        <v>397648.963734366</v>
      </c>
      <c r="M20">
        <v>563.33333333333303</v>
      </c>
      <c r="N20">
        <v>2534.99999999999</v>
      </c>
      <c r="O20">
        <v>300</v>
      </c>
      <c r="P20">
        <v>250</v>
      </c>
      <c r="Q20">
        <v>3648.3333333333298</v>
      </c>
      <c r="R20">
        <v>3380</v>
      </c>
      <c r="S20">
        <v>4771.78756481239</v>
      </c>
      <c r="T20">
        <v>10140</v>
      </c>
      <c r="U20">
        <v>11929.468912030899</v>
      </c>
      <c r="V20" s="10">
        <f t="shared" si="3"/>
        <v>59648.963734366</v>
      </c>
      <c r="Z20">
        <f t="shared" si="2"/>
        <v>21</v>
      </c>
      <c r="AA20">
        <f>SUMIF(final_phase2_full_costs!F4:F399,Z20,final_phase2_full_costs!H4:H399)</f>
        <v>9497000</v>
      </c>
    </row>
    <row r="21" spans="1:27" ht="16" x14ac:dyDescent="0.2">
      <c r="A21">
        <v>16</v>
      </c>
      <c r="B21" t="s">
        <v>101</v>
      </c>
      <c r="C21">
        <v>1</v>
      </c>
      <c r="D21" t="s">
        <v>103</v>
      </c>
      <c r="E21">
        <v>2</v>
      </c>
      <c r="F21">
        <v>7</v>
      </c>
      <c r="G21">
        <v>5</v>
      </c>
      <c r="H21">
        <v>443000</v>
      </c>
      <c r="I21">
        <v>26580</v>
      </c>
      <c r="J21">
        <v>8199.7467798370599</v>
      </c>
      <c r="K21">
        <v>26580</v>
      </c>
      <c r="L21">
        <v>504359.74677983701</v>
      </c>
      <c r="M21">
        <v>738.33333333333303</v>
      </c>
      <c r="N21">
        <v>3322.49999999999</v>
      </c>
      <c r="O21">
        <v>300</v>
      </c>
      <c r="P21">
        <v>250</v>
      </c>
      <c r="Q21">
        <v>4610.8333333333303</v>
      </c>
      <c r="R21">
        <v>4430</v>
      </c>
      <c r="S21">
        <v>6052.3169613580403</v>
      </c>
      <c r="T21">
        <v>13290</v>
      </c>
      <c r="U21">
        <v>15130.7924033951</v>
      </c>
      <c r="V21" s="10">
        <f t="shared" si="3"/>
        <v>61359.746779837005</v>
      </c>
      <c r="Z21">
        <f t="shared" si="2"/>
        <v>22</v>
      </c>
      <c r="AA21">
        <f>SUMIF(final_phase2_full_costs!F5:F400,Z21,final_phase2_full_costs!H5:H400)</f>
        <v>13864000</v>
      </c>
    </row>
    <row r="22" spans="1:27" ht="16" x14ac:dyDescent="0.2">
      <c r="A22">
        <v>21</v>
      </c>
      <c r="B22" t="s">
        <v>101</v>
      </c>
      <c r="C22">
        <v>1</v>
      </c>
      <c r="D22" t="s">
        <v>103</v>
      </c>
      <c r="E22">
        <v>2</v>
      </c>
      <c r="F22">
        <v>7</v>
      </c>
      <c r="G22">
        <v>5</v>
      </c>
      <c r="H22">
        <v>443000</v>
      </c>
      <c r="I22">
        <v>26580</v>
      </c>
      <c r="J22">
        <v>8199.7467798370599</v>
      </c>
      <c r="K22">
        <v>26580</v>
      </c>
      <c r="L22">
        <v>504359.74677983701</v>
      </c>
      <c r="M22">
        <v>738.33333333333303</v>
      </c>
      <c r="N22">
        <v>3322.49999999999</v>
      </c>
      <c r="O22">
        <v>300</v>
      </c>
      <c r="P22">
        <v>250</v>
      </c>
      <c r="Q22">
        <v>4610.8333333333303</v>
      </c>
      <c r="R22">
        <v>4430</v>
      </c>
      <c r="S22">
        <v>6052.3169613580403</v>
      </c>
      <c r="T22">
        <v>13290</v>
      </c>
      <c r="U22">
        <v>15130.7924033951</v>
      </c>
      <c r="V22" s="10">
        <f t="shared" si="3"/>
        <v>61359.746779837005</v>
      </c>
      <c r="Z22">
        <f t="shared" si="2"/>
        <v>23</v>
      </c>
      <c r="AA22">
        <f>SUMIF(final_phase2_full_costs!F6:F401,Z22,final_phase2_full_costs!H6:H401)</f>
        <v>22828000</v>
      </c>
    </row>
    <row r="23" spans="1:27" ht="16" x14ac:dyDescent="0.2">
      <c r="A23">
        <v>23</v>
      </c>
      <c r="B23" t="s">
        <v>101</v>
      </c>
      <c r="C23">
        <v>1</v>
      </c>
      <c r="D23" t="s">
        <v>103</v>
      </c>
      <c r="E23">
        <v>2</v>
      </c>
      <c r="F23">
        <v>7</v>
      </c>
      <c r="G23">
        <v>5</v>
      </c>
      <c r="H23">
        <v>443000</v>
      </c>
      <c r="I23">
        <v>26580</v>
      </c>
      <c r="J23">
        <v>8199.7467798370599</v>
      </c>
      <c r="K23">
        <v>26580</v>
      </c>
      <c r="L23">
        <v>504359.74677983701</v>
      </c>
      <c r="M23">
        <v>738.33333333333303</v>
      </c>
      <c r="N23">
        <v>3322.49999999999</v>
      </c>
      <c r="O23">
        <v>300</v>
      </c>
      <c r="P23">
        <v>250</v>
      </c>
      <c r="Q23">
        <v>4610.8333333333303</v>
      </c>
      <c r="R23">
        <v>4430</v>
      </c>
      <c r="S23">
        <v>6052.3169613580403</v>
      </c>
      <c r="T23">
        <v>13290</v>
      </c>
      <c r="U23">
        <v>15130.7924033951</v>
      </c>
      <c r="V23" s="10">
        <f t="shared" si="3"/>
        <v>61359.746779837005</v>
      </c>
      <c r="Z23">
        <f t="shared" si="2"/>
        <v>24</v>
      </c>
      <c r="AA23">
        <f>SUMIF(final_phase2_full_costs!F7:F402,Z23,final_phase2_full_costs!H7:H402)</f>
        <v>13905000</v>
      </c>
    </row>
    <row r="24" spans="1:27" ht="16" x14ac:dyDescent="0.2">
      <c r="A24">
        <v>29</v>
      </c>
      <c r="B24" t="s">
        <v>101</v>
      </c>
      <c r="C24">
        <v>1</v>
      </c>
      <c r="D24" t="s">
        <v>102</v>
      </c>
      <c r="E24">
        <v>3</v>
      </c>
      <c r="F24">
        <v>7</v>
      </c>
      <c r="G24">
        <v>4</v>
      </c>
      <c r="H24">
        <v>338000</v>
      </c>
      <c r="I24">
        <v>27040</v>
      </c>
      <c r="J24">
        <v>4447.8784912198998</v>
      </c>
      <c r="K24">
        <v>27040</v>
      </c>
      <c r="L24">
        <v>396527.87849121902</v>
      </c>
      <c r="M24">
        <v>450.666666666666</v>
      </c>
      <c r="N24">
        <v>2027.99999999999</v>
      </c>
      <c r="O24">
        <v>240</v>
      </c>
      <c r="P24">
        <v>200</v>
      </c>
      <c r="Q24">
        <v>2918.6666666666601</v>
      </c>
      <c r="R24">
        <v>3380</v>
      </c>
      <c r="S24">
        <v>4758.3345418946301</v>
      </c>
      <c r="T24">
        <v>10140</v>
      </c>
      <c r="U24">
        <v>11895.836354736501</v>
      </c>
      <c r="V24" s="10">
        <f t="shared" si="3"/>
        <v>58527.878491219017</v>
      </c>
      <c r="Z24">
        <f t="shared" si="2"/>
        <v>25</v>
      </c>
      <c r="AA24">
        <f>SUMIF(final_phase2_full_costs!F8:F403,Z24,final_phase2_full_costs!H8:H403)</f>
        <v>18627000</v>
      </c>
    </row>
    <row r="25" spans="1:27" ht="16" x14ac:dyDescent="0.2">
      <c r="A25">
        <v>32</v>
      </c>
      <c r="B25" t="s">
        <v>101</v>
      </c>
      <c r="C25">
        <v>1</v>
      </c>
      <c r="D25" t="s">
        <v>102</v>
      </c>
      <c r="E25">
        <v>3</v>
      </c>
      <c r="F25">
        <v>7</v>
      </c>
      <c r="G25">
        <v>4</v>
      </c>
      <c r="H25">
        <v>338000</v>
      </c>
      <c r="I25">
        <v>27040</v>
      </c>
      <c r="J25">
        <v>4447.8784912198998</v>
      </c>
      <c r="K25">
        <v>27040</v>
      </c>
      <c r="L25">
        <v>396527.87849121902</v>
      </c>
      <c r="M25">
        <v>450.666666666666</v>
      </c>
      <c r="N25">
        <v>2027.99999999999</v>
      </c>
      <c r="O25">
        <v>240</v>
      </c>
      <c r="P25">
        <v>200</v>
      </c>
      <c r="Q25">
        <v>2918.6666666666601</v>
      </c>
      <c r="R25">
        <v>3380</v>
      </c>
      <c r="S25">
        <v>4758.3345418946301</v>
      </c>
      <c r="T25">
        <v>10140</v>
      </c>
      <c r="U25">
        <v>11895.836354736501</v>
      </c>
      <c r="V25" s="10">
        <f t="shared" si="3"/>
        <v>58527.878491219017</v>
      </c>
      <c r="Z25">
        <f t="shared" si="2"/>
        <v>26</v>
      </c>
      <c r="AA25">
        <f>SUMIF(final_phase2_full_costs!F9:F404,Z25,final_phase2_full_costs!H9:H404)</f>
        <v>16004000</v>
      </c>
    </row>
    <row r="26" spans="1:27" ht="16" x14ac:dyDescent="0.2">
      <c r="A26">
        <v>36</v>
      </c>
      <c r="B26" t="s">
        <v>101</v>
      </c>
      <c r="C26">
        <v>1</v>
      </c>
      <c r="D26" t="s">
        <v>103</v>
      </c>
      <c r="E26">
        <v>3</v>
      </c>
      <c r="F26">
        <v>7</v>
      </c>
      <c r="G26">
        <v>4</v>
      </c>
      <c r="H26">
        <v>443000</v>
      </c>
      <c r="I26">
        <v>26580</v>
      </c>
      <c r="J26">
        <v>6547.7445023945402</v>
      </c>
      <c r="K26">
        <v>26580</v>
      </c>
      <c r="L26">
        <v>502707.74450239399</v>
      </c>
      <c r="M26">
        <v>590.66666666666595</v>
      </c>
      <c r="N26">
        <v>2657.99999999999</v>
      </c>
      <c r="O26">
        <v>240</v>
      </c>
      <c r="P26">
        <v>200</v>
      </c>
      <c r="Q26">
        <v>3688.6666666666601</v>
      </c>
      <c r="R26">
        <v>4430</v>
      </c>
      <c r="S26">
        <v>6032.4929340287299</v>
      </c>
      <c r="T26">
        <v>13290</v>
      </c>
      <c r="U26">
        <v>15081.2323350718</v>
      </c>
      <c r="V26" s="10">
        <f t="shared" si="3"/>
        <v>59707.744502393994</v>
      </c>
      <c r="Z26">
        <f t="shared" si="2"/>
        <v>27</v>
      </c>
      <c r="AA26">
        <f>SUMIF(final_phase2_full_costs!F10:F405,Z26,final_phase2_full_costs!H10:H405)</f>
        <v>14402000</v>
      </c>
    </row>
    <row r="27" spans="1:27" ht="16" x14ac:dyDescent="0.2">
      <c r="A27">
        <v>39</v>
      </c>
      <c r="B27" t="s">
        <v>101</v>
      </c>
      <c r="C27">
        <v>1</v>
      </c>
      <c r="D27" t="s">
        <v>103</v>
      </c>
      <c r="E27">
        <v>3</v>
      </c>
      <c r="F27">
        <v>7</v>
      </c>
      <c r="G27">
        <v>4</v>
      </c>
      <c r="H27">
        <v>443000</v>
      </c>
      <c r="I27">
        <v>26580</v>
      </c>
      <c r="J27">
        <v>6547.7445023945402</v>
      </c>
      <c r="K27">
        <v>26580</v>
      </c>
      <c r="L27">
        <v>502707.74450239399</v>
      </c>
      <c r="M27">
        <v>590.66666666666595</v>
      </c>
      <c r="N27">
        <v>2657.99999999999</v>
      </c>
      <c r="O27">
        <v>240</v>
      </c>
      <c r="P27">
        <v>200</v>
      </c>
      <c r="Q27">
        <v>3688.6666666666601</v>
      </c>
      <c r="R27">
        <v>4430</v>
      </c>
      <c r="S27">
        <v>6032.4929340287299</v>
      </c>
      <c r="T27">
        <v>13290</v>
      </c>
      <c r="U27">
        <v>15081.2323350718</v>
      </c>
      <c r="V27" s="10">
        <f t="shared" si="3"/>
        <v>59707.744502393994</v>
      </c>
      <c r="Z27">
        <f t="shared" si="2"/>
        <v>28</v>
      </c>
      <c r="AA27">
        <f>SUMIF(final_phase2_full_costs!F11:F406,Z27,final_phase2_full_costs!H11:H406)</f>
        <v>15059000</v>
      </c>
    </row>
    <row r="28" spans="1:27" ht="16" x14ac:dyDescent="0.2">
      <c r="A28">
        <v>42</v>
      </c>
      <c r="B28" t="s">
        <v>101</v>
      </c>
      <c r="C28">
        <v>1</v>
      </c>
      <c r="D28" t="s">
        <v>103</v>
      </c>
      <c r="E28">
        <v>3</v>
      </c>
      <c r="F28">
        <v>7</v>
      </c>
      <c r="G28">
        <v>4</v>
      </c>
      <c r="H28">
        <v>443000</v>
      </c>
      <c r="I28">
        <v>26580</v>
      </c>
      <c r="J28">
        <v>6547.7445023945402</v>
      </c>
      <c r="K28">
        <v>26580</v>
      </c>
      <c r="L28">
        <v>502707.74450239399</v>
      </c>
      <c r="M28">
        <v>590.66666666666595</v>
      </c>
      <c r="N28">
        <v>2657.99999999999</v>
      </c>
      <c r="O28">
        <v>240</v>
      </c>
      <c r="P28">
        <v>200</v>
      </c>
      <c r="Q28">
        <v>3688.6666666666601</v>
      </c>
      <c r="R28">
        <v>4430</v>
      </c>
      <c r="S28">
        <v>6032.4929340287299</v>
      </c>
      <c r="T28">
        <v>13290</v>
      </c>
      <c r="U28">
        <v>15081.2323350718</v>
      </c>
      <c r="V28" s="10">
        <f t="shared" si="3"/>
        <v>59707.744502393994</v>
      </c>
      <c r="Z28">
        <f t="shared" si="2"/>
        <v>29</v>
      </c>
      <c r="AA28">
        <f>SUMIF(final_phase2_full_costs!F12:F407,Z28,final_phase2_full_costs!H12:H407)</f>
        <v>8611000</v>
      </c>
    </row>
    <row r="29" spans="1:27" ht="16" x14ac:dyDescent="0.2">
      <c r="A29">
        <v>47</v>
      </c>
      <c r="B29" t="s">
        <v>101</v>
      </c>
      <c r="C29">
        <v>1</v>
      </c>
      <c r="D29" t="s">
        <v>102</v>
      </c>
      <c r="E29">
        <v>4</v>
      </c>
      <c r="F29">
        <v>7</v>
      </c>
      <c r="G29">
        <v>3</v>
      </c>
      <c r="H29">
        <v>338000</v>
      </c>
      <c r="I29">
        <v>27040</v>
      </c>
      <c r="J29">
        <v>3330.4514135514601</v>
      </c>
      <c r="K29">
        <v>27040</v>
      </c>
      <c r="L29">
        <v>395410.451413551</v>
      </c>
      <c r="M29">
        <v>338</v>
      </c>
      <c r="N29">
        <v>1520.99999999999</v>
      </c>
      <c r="O29">
        <v>180</v>
      </c>
      <c r="P29">
        <v>150</v>
      </c>
      <c r="Q29">
        <v>2189</v>
      </c>
      <c r="R29">
        <v>3380</v>
      </c>
      <c r="S29">
        <v>4744.9254169626101</v>
      </c>
      <c r="T29">
        <v>10140</v>
      </c>
      <c r="U29">
        <v>11862.3135424065</v>
      </c>
      <c r="V29" s="10">
        <f t="shared" si="3"/>
        <v>57410.451413550996</v>
      </c>
      <c r="Z29">
        <f t="shared" si="2"/>
        <v>30</v>
      </c>
      <c r="AA29">
        <f>SUMIF(final_phase2_full_costs!F13:F408,Z29,final_phase2_full_costs!H13:H408)</f>
        <v>6830000</v>
      </c>
    </row>
    <row r="30" spans="1:27" ht="16" x14ac:dyDescent="0.2">
      <c r="A30">
        <v>50</v>
      </c>
      <c r="B30" t="s">
        <v>101</v>
      </c>
      <c r="C30">
        <v>1</v>
      </c>
      <c r="D30" t="s">
        <v>102</v>
      </c>
      <c r="E30">
        <v>4</v>
      </c>
      <c r="F30">
        <v>7</v>
      </c>
      <c r="G30">
        <v>3</v>
      </c>
      <c r="H30">
        <v>338000</v>
      </c>
      <c r="I30">
        <v>27040</v>
      </c>
      <c r="J30">
        <v>3330.4514135514601</v>
      </c>
      <c r="K30">
        <v>27040</v>
      </c>
      <c r="L30">
        <v>395410.451413551</v>
      </c>
      <c r="M30">
        <v>338</v>
      </c>
      <c r="N30">
        <v>1520.99999999999</v>
      </c>
      <c r="O30">
        <v>180</v>
      </c>
      <c r="P30">
        <v>150</v>
      </c>
      <c r="Q30">
        <v>2189</v>
      </c>
      <c r="R30">
        <v>3380</v>
      </c>
      <c r="S30">
        <v>4744.9254169626101</v>
      </c>
      <c r="T30">
        <v>10140</v>
      </c>
      <c r="U30">
        <v>11862.3135424065</v>
      </c>
      <c r="V30" s="10">
        <f t="shared" si="3"/>
        <v>57410.451413550996</v>
      </c>
      <c r="Z30">
        <f t="shared" si="2"/>
        <v>31</v>
      </c>
      <c r="AA30">
        <f>SUMIF(final_phase2_full_costs!F14:F409,Z30,final_phase2_full_costs!H14:H409)</f>
        <v>2250000</v>
      </c>
    </row>
    <row r="31" spans="1:27" ht="16" x14ac:dyDescent="0.2">
      <c r="A31">
        <v>52</v>
      </c>
      <c r="B31" t="s">
        <v>101</v>
      </c>
      <c r="C31">
        <v>1</v>
      </c>
      <c r="D31" t="s">
        <v>102</v>
      </c>
      <c r="E31">
        <v>4</v>
      </c>
      <c r="F31">
        <v>7</v>
      </c>
      <c r="G31">
        <v>3</v>
      </c>
      <c r="H31">
        <v>338000</v>
      </c>
      <c r="I31">
        <v>27040</v>
      </c>
      <c r="J31">
        <v>3330.4514135514601</v>
      </c>
      <c r="K31">
        <v>27040</v>
      </c>
      <c r="L31">
        <v>395410.451413551</v>
      </c>
      <c r="M31">
        <v>338</v>
      </c>
      <c r="N31">
        <v>1520.99999999999</v>
      </c>
      <c r="O31">
        <v>180</v>
      </c>
      <c r="P31">
        <v>150</v>
      </c>
      <c r="Q31">
        <v>2189</v>
      </c>
      <c r="R31">
        <v>3380</v>
      </c>
      <c r="S31">
        <v>4744.9254169626101</v>
      </c>
      <c r="T31">
        <v>10140</v>
      </c>
      <c r="U31">
        <v>11862.3135424065</v>
      </c>
      <c r="V31" s="10">
        <f t="shared" si="3"/>
        <v>57410.451413550996</v>
      </c>
      <c r="Z31">
        <f t="shared" si="2"/>
        <v>32</v>
      </c>
      <c r="AA31">
        <f>SUMIF(final_phase2_full_costs!F15:F410,Z31,final_phase2_full_costs!H15:H410)</f>
        <v>630000</v>
      </c>
    </row>
    <row r="32" spans="1:27" ht="16" x14ac:dyDescent="0.2">
      <c r="A32">
        <v>53</v>
      </c>
      <c r="B32" t="s">
        <v>101</v>
      </c>
      <c r="C32">
        <v>1</v>
      </c>
      <c r="D32" t="s">
        <v>102</v>
      </c>
      <c r="E32">
        <v>4</v>
      </c>
      <c r="F32">
        <v>7</v>
      </c>
      <c r="G32">
        <v>3</v>
      </c>
      <c r="H32">
        <v>338000</v>
      </c>
      <c r="I32">
        <v>27040</v>
      </c>
      <c r="J32">
        <v>3330.4514135514601</v>
      </c>
      <c r="K32">
        <v>27040</v>
      </c>
      <c r="L32">
        <v>395410.451413551</v>
      </c>
      <c r="M32">
        <v>338</v>
      </c>
      <c r="N32">
        <v>1520.99999999999</v>
      </c>
      <c r="O32">
        <v>180</v>
      </c>
      <c r="P32">
        <v>150</v>
      </c>
      <c r="Q32">
        <v>2189</v>
      </c>
      <c r="R32">
        <v>3380</v>
      </c>
      <c r="S32">
        <v>4744.9254169626101</v>
      </c>
      <c r="T32">
        <v>10140</v>
      </c>
      <c r="U32">
        <v>11862.3135424065</v>
      </c>
      <c r="V32" s="10">
        <f t="shared" si="3"/>
        <v>57410.451413550996</v>
      </c>
      <c r="Z32">
        <f t="shared" si="2"/>
        <v>33</v>
      </c>
      <c r="AA32">
        <f>SUMIF(final_phase2_full_costs!F16:F411,Z32,final_phase2_full_costs!H16:H411)</f>
        <v>630000</v>
      </c>
    </row>
    <row r="33" spans="1:27" ht="16" x14ac:dyDescent="0.2">
      <c r="V33" s="10">
        <f>SUM(V17:V32)</f>
        <v>976509.65558171389</v>
      </c>
      <c r="Z33">
        <f t="shared" si="2"/>
        <v>34</v>
      </c>
      <c r="AA33">
        <f>SUMIF(final_phase2_full_costs!F17:F412,Z33,final_phase2_full_costs!H17:H412)</f>
        <v>0</v>
      </c>
    </row>
    <row r="34" spans="1:27" ht="16" x14ac:dyDescent="0.2">
      <c r="A34">
        <v>17</v>
      </c>
      <c r="B34" t="s">
        <v>101</v>
      </c>
      <c r="C34">
        <v>1</v>
      </c>
      <c r="D34" t="s">
        <v>103</v>
      </c>
      <c r="E34">
        <v>2</v>
      </c>
      <c r="F34">
        <v>8</v>
      </c>
      <c r="G34">
        <v>6</v>
      </c>
      <c r="H34">
        <v>443000</v>
      </c>
      <c r="I34">
        <v>26580</v>
      </c>
      <c r="J34">
        <v>9857.8198507783309</v>
      </c>
      <c r="K34">
        <v>26580</v>
      </c>
      <c r="L34">
        <v>506017.81985077797</v>
      </c>
      <c r="M34">
        <v>886</v>
      </c>
      <c r="N34">
        <v>3986.99999999999</v>
      </c>
      <c r="O34">
        <v>360</v>
      </c>
      <c r="P34">
        <v>300</v>
      </c>
      <c r="Q34">
        <v>5533</v>
      </c>
      <c r="R34">
        <v>4430</v>
      </c>
      <c r="S34">
        <v>6072.2138382093399</v>
      </c>
      <c r="T34">
        <v>13290</v>
      </c>
      <c r="U34">
        <v>15180.534595523301</v>
      </c>
      <c r="V34" s="10">
        <f t="shared" ref="V34:V60" si="4">L34-H34</f>
        <v>63017.819850777974</v>
      </c>
      <c r="Z34">
        <f t="shared" si="2"/>
        <v>35</v>
      </c>
      <c r="AA34">
        <f>SUMIF(final_phase2_full_costs!F18:F413,Z34,final_phase2_full_costs!H18:H413)</f>
        <v>0</v>
      </c>
    </row>
    <row r="35" spans="1:27" ht="16" x14ac:dyDescent="0.2">
      <c r="A35">
        <v>18</v>
      </c>
      <c r="B35" t="s">
        <v>101</v>
      </c>
      <c r="C35">
        <v>1</v>
      </c>
      <c r="D35" t="s">
        <v>103</v>
      </c>
      <c r="E35">
        <v>2</v>
      </c>
      <c r="F35">
        <v>8</v>
      </c>
      <c r="G35">
        <v>6</v>
      </c>
      <c r="H35">
        <v>443000</v>
      </c>
      <c r="I35">
        <v>26580</v>
      </c>
      <c r="J35">
        <v>9857.8198507783309</v>
      </c>
      <c r="K35">
        <v>26580</v>
      </c>
      <c r="L35">
        <v>506017.81985077797</v>
      </c>
      <c r="M35">
        <v>886</v>
      </c>
      <c r="N35">
        <v>3986.99999999999</v>
      </c>
      <c r="O35">
        <v>360</v>
      </c>
      <c r="P35">
        <v>300</v>
      </c>
      <c r="Q35">
        <v>5533</v>
      </c>
      <c r="R35">
        <v>4430</v>
      </c>
      <c r="S35">
        <v>6072.2138382093399</v>
      </c>
      <c r="T35">
        <v>13290</v>
      </c>
      <c r="U35">
        <v>15180.534595523301</v>
      </c>
      <c r="V35" s="10">
        <f t="shared" si="4"/>
        <v>63017.819850777974</v>
      </c>
    </row>
    <row r="36" spans="1:27" ht="16" x14ac:dyDescent="0.2">
      <c r="A36">
        <v>19</v>
      </c>
      <c r="B36" t="s">
        <v>101</v>
      </c>
      <c r="C36">
        <v>1</v>
      </c>
      <c r="D36" t="s">
        <v>103</v>
      </c>
      <c r="E36">
        <v>2</v>
      </c>
      <c r="F36">
        <v>8</v>
      </c>
      <c r="G36">
        <v>6</v>
      </c>
      <c r="H36">
        <v>443000</v>
      </c>
      <c r="I36">
        <v>26580</v>
      </c>
      <c r="J36">
        <v>9857.8198507783309</v>
      </c>
      <c r="K36">
        <v>26580</v>
      </c>
      <c r="L36">
        <v>506017.81985077797</v>
      </c>
      <c r="M36">
        <v>886</v>
      </c>
      <c r="N36">
        <v>3986.99999999999</v>
      </c>
      <c r="O36">
        <v>360</v>
      </c>
      <c r="P36">
        <v>300</v>
      </c>
      <c r="Q36">
        <v>5533</v>
      </c>
      <c r="R36">
        <v>4430</v>
      </c>
      <c r="S36">
        <v>6072.2138382093399</v>
      </c>
      <c r="T36">
        <v>13290</v>
      </c>
      <c r="U36">
        <v>15180.534595523301</v>
      </c>
      <c r="V36" s="10">
        <f t="shared" si="4"/>
        <v>63017.819850777974</v>
      </c>
    </row>
    <row r="37" spans="1:27" ht="16" x14ac:dyDescent="0.2">
      <c r="A37">
        <v>20</v>
      </c>
      <c r="B37" t="s">
        <v>101</v>
      </c>
      <c r="C37">
        <v>1</v>
      </c>
      <c r="D37" t="s">
        <v>103</v>
      </c>
      <c r="E37">
        <v>2</v>
      </c>
      <c r="F37">
        <v>8</v>
      </c>
      <c r="G37">
        <v>6</v>
      </c>
      <c r="H37">
        <v>443000</v>
      </c>
      <c r="I37">
        <v>26580</v>
      </c>
      <c r="J37">
        <v>9857.8198507783309</v>
      </c>
      <c r="K37">
        <v>26580</v>
      </c>
      <c r="L37">
        <v>506017.81985077797</v>
      </c>
      <c r="M37">
        <v>886</v>
      </c>
      <c r="N37">
        <v>3986.99999999999</v>
      </c>
      <c r="O37">
        <v>360</v>
      </c>
      <c r="P37">
        <v>300</v>
      </c>
      <c r="Q37">
        <v>5533</v>
      </c>
      <c r="R37">
        <v>4430</v>
      </c>
      <c r="S37">
        <v>6072.2138382093399</v>
      </c>
      <c r="T37">
        <v>13290</v>
      </c>
      <c r="U37">
        <v>15180.534595523301</v>
      </c>
      <c r="V37" s="10">
        <f t="shared" si="4"/>
        <v>63017.819850777974</v>
      </c>
    </row>
    <row r="38" spans="1:27" ht="16" x14ac:dyDescent="0.2">
      <c r="A38">
        <v>22</v>
      </c>
      <c r="B38" t="s">
        <v>101</v>
      </c>
      <c r="C38">
        <v>1</v>
      </c>
      <c r="D38" t="s">
        <v>103</v>
      </c>
      <c r="E38">
        <v>2</v>
      </c>
      <c r="F38">
        <v>8</v>
      </c>
      <c r="G38">
        <v>6</v>
      </c>
      <c r="H38">
        <v>443000</v>
      </c>
      <c r="I38">
        <v>26580</v>
      </c>
      <c r="J38">
        <v>9857.8198507783309</v>
      </c>
      <c r="K38">
        <v>26580</v>
      </c>
      <c r="L38">
        <v>506017.81985077797</v>
      </c>
      <c r="M38">
        <v>886</v>
      </c>
      <c r="N38">
        <v>3986.99999999999</v>
      </c>
      <c r="O38">
        <v>360</v>
      </c>
      <c r="P38">
        <v>300</v>
      </c>
      <c r="Q38">
        <v>5533</v>
      </c>
      <c r="R38">
        <v>4430</v>
      </c>
      <c r="S38">
        <v>6072.2138382093399</v>
      </c>
      <c r="T38">
        <v>13290</v>
      </c>
      <c r="U38">
        <v>15180.534595523301</v>
      </c>
      <c r="V38" s="10">
        <f t="shared" si="4"/>
        <v>63017.819850777974</v>
      </c>
    </row>
    <row r="39" spans="1:27" ht="16" x14ac:dyDescent="0.2">
      <c r="A39">
        <v>24</v>
      </c>
      <c r="B39" t="s">
        <v>101</v>
      </c>
      <c r="C39">
        <v>1</v>
      </c>
      <c r="D39" t="s">
        <v>104</v>
      </c>
      <c r="E39">
        <v>2</v>
      </c>
      <c r="F39">
        <v>8</v>
      </c>
      <c r="G39">
        <v>6</v>
      </c>
      <c r="H39">
        <v>676000</v>
      </c>
      <c r="I39">
        <v>33800</v>
      </c>
      <c r="J39">
        <v>16693.871778868899</v>
      </c>
      <c r="K39">
        <v>33800</v>
      </c>
      <c r="L39">
        <v>760293.87177886895</v>
      </c>
      <c r="M39">
        <v>1352</v>
      </c>
      <c r="N39">
        <v>6083.99999999999</v>
      </c>
      <c r="O39">
        <v>360</v>
      </c>
      <c r="P39">
        <v>300</v>
      </c>
      <c r="Q39">
        <v>8095.99999999999</v>
      </c>
      <c r="R39">
        <v>6760</v>
      </c>
      <c r="S39">
        <v>9123.5264613464205</v>
      </c>
      <c r="T39">
        <v>20280</v>
      </c>
      <c r="U39">
        <v>22808.816153365999</v>
      </c>
      <c r="V39" s="10">
        <f t="shared" si="4"/>
        <v>84293.871778868954</v>
      </c>
    </row>
    <row r="40" spans="1:27" ht="16" x14ac:dyDescent="0.2">
      <c r="A40">
        <v>25</v>
      </c>
      <c r="B40" t="s">
        <v>101</v>
      </c>
      <c r="C40">
        <v>1</v>
      </c>
      <c r="D40" t="s">
        <v>104</v>
      </c>
      <c r="E40">
        <v>2</v>
      </c>
      <c r="F40">
        <v>8</v>
      </c>
      <c r="G40">
        <v>6</v>
      </c>
      <c r="H40">
        <v>676000</v>
      </c>
      <c r="I40">
        <v>33800</v>
      </c>
      <c r="J40">
        <v>16693.871778868899</v>
      </c>
      <c r="K40">
        <v>33800</v>
      </c>
      <c r="L40">
        <v>760293.87177886895</v>
      </c>
      <c r="M40">
        <v>1352</v>
      </c>
      <c r="N40">
        <v>6083.99999999999</v>
      </c>
      <c r="O40">
        <v>360</v>
      </c>
      <c r="P40">
        <v>300</v>
      </c>
      <c r="Q40">
        <v>8095.99999999999</v>
      </c>
      <c r="R40">
        <v>6760</v>
      </c>
      <c r="S40">
        <v>9123.5264613464205</v>
      </c>
      <c r="T40">
        <v>20280</v>
      </c>
      <c r="U40">
        <v>22808.816153365999</v>
      </c>
      <c r="V40" s="10">
        <f t="shared" si="4"/>
        <v>84293.871778868954</v>
      </c>
    </row>
    <row r="41" spans="1:27" ht="16" x14ac:dyDescent="0.2">
      <c r="A41">
        <v>26</v>
      </c>
      <c r="B41" t="s">
        <v>101</v>
      </c>
      <c r="C41">
        <v>1</v>
      </c>
      <c r="D41" t="s">
        <v>102</v>
      </c>
      <c r="E41">
        <v>3</v>
      </c>
      <c r="F41">
        <v>8</v>
      </c>
      <c r="G41">
        <v>5</v>
      </c>
      <c r="H41">
        <v>338000</v>
      </c>
      <c r="I41">
        <v>27040</v>
      </c>
      <c r="J41">
        <v>5568.9637343662098</v>
      </c>
      <c r="K41">
        <v>27040</v>
      </c>
      <c r="L41">
        <v>397648.963734366</v>
      </c>
      <c r="M41">
        <v>563.33333333333303</v>
      </c>
      <c r="N41">
        <v>2534.99999999999</v>
      </c>
      <c r="O41">
        <v>300</v>
      </c>
      <c r="P41">
        <v>250</v>
      </c>
      <c r="Q41">
        <v>3648.3333333333298</v>
      </c>
      <c r="R41">
        <v>3380</v>
      </c>
      <c r="S41">
        <v>4771.78756481239</v>
      </c>
      <c r="T41">
        <v>10140</v>
      </c>
      <c r="U41">
        <v>11929.468912030899</v>
      </c>
      <c r="V41" s="10">
        <f t="shared" si="4"/>
        <v>59648.963734366</v>
      </c>
    </row>
    <row r="42" spans="1:27" ht="16" x14ac:dyDescent="0.2">
      <c r="A42">
        <v>27</v>
      </c>
      <c r="B42" t="s">
        <v>101</v>
      </c>
      <c r="C42">
        <v>1</v>
      </c>
      <c r="D42" t="s">
        <v>102</v>
      </c>
      <c r="E42">
        <v>3</v>
      </c>
      <c r="F42">
        <v>8</v>
      </c>
      <c r="G42">
        <v>5</v>
      </c>
      <c r="H42">
        <v>338000</v>
      </c>
      <c r="I42">
        <v>27040</v>
      </c>
      <c r="J42">
        <v>5568.9637343662098</v>
      </c>
      <c r="K42">
        <v>27040</v>
      </c>
      <c r="L42">
        <v>397648.963734366</v>
      </c>
      <c r="M42">
        <v>563.33333333333303</v>
      </c>
      <c r="N42">
        <v>2534.99999999999</v>
      </c>
      <c r="O42">
        <v>300</v>
      </c>
      <c r="P42">
        <v>250</v>
      </c>
      <c r="Q42">
        <v>3648.3333333333298</v>
      </c>
      <c r="R42">
        <v>3380</v>
      </c>
      <c r="S42">
        <v>4771.78756481239</v>
      </c>
      <c r="T42">
        <v>10140</v>
      </c>
      <c r="U42">
        <v>11929.468912030899</v>
      </c>
      <c r="V42" s="10">
        <f t="shared" si="4"/>
        <v>59648.963734366</v>
      </c>
    </row>
    <row r="43" spans="1:27" ht="16" x14ac:dyDescent="0.2">
      <c r="A43">
        <v>30</v>
      </c>
      <c r="B43" t="s">
        <v>101</v>
      </c>
      <c r="C43">
        <v>1</v>
      </c>
      <c r="D43" t="s">
        <v>102</v>
      </c>
      <c r="E43">
        <v>3</v>
      </c>
      <c r="F43">
        <v>8</v>
      </c>
      <c r="G43">
        <v>5</v>
      </c>
      <c r="H43">
        <v>338000</v>
      </c>
      <c r="I43">
        <v>27040</v>
      </c>
      <c r="J43">
        <v>5568.9637343662098</v>
      </c>
      <c r="K43">
        <v>27040</v>
      </c>
      <c r="L43">
        <v>397648.963734366</v>
      </c>
      <c r="M43">
        <v>563.33333333333303</v>
      </c>
      <c r="N43">
        <v>2534.99999999999</v>
      </c>
      <c r="O43">
        <v>300</v>
      </c>
      <c r="P43">
        <v>250</v>
      </c>
      <c r="Q43">
        <v>3648.3333333333298</v>
      </c>
      <c r="R43">
        <v>3380</v>
      </c>
      <c r="S43">
        <v>4771.78756481239</v>
      </c>
      <c r="T43">
        <v>10140</v>
      </c>
      <c r="U43">
        <v>11929.468912030899</v>
      </c>
      <c r="V43" s="10">
        <f t="shared" si="4"/>
        <v>59648.963734366</v>
      </c>
    </row>
    <row r="44" spans="1:27" ht="16" x14ac:dyDescent="0.2">
      <c r="A44">
        <v>33</v>
      </c>
      <c r="B44" t="s">
        <v>101</v>
      </c>
      <c r="C44">
        <v>1</v>
      </c>
      <c r="D44" t="s">
        <v>103</v>
      </c>
      <c r="E44">
        <v>3</v>
      </c>
      <c r="F44">
        <v>8</v>
      </c>
      <c r="G44">
        <v>5</v>
      </c>
      <c r="H44">
        <v>443000</v>
      </c>
      <c r="I44">
        <v>26580</v>
      </c>
      <c r="J44">
        <v>8199.7467798370599</v>
      </c>
      <c r="K44">
        <v>26580</v>
      </c>
      <c r="L44">
        <v>504359.74677983701</v>
      </c>
      <c r="M44">
        <v>738.33333333333303</v>
      </c>
      <c r="N44">
        <v>3322.49999999999</v>
      </c>
      <c r="O44">
        <v>300</v>
      </c>
      <c r="P44">
        <v>250</v>
      </c>
      <c r="Q44">
        <v>4610.8333333333303</v>
      </c>
      <c r="R44">
        <v>4430</v>
      </c>
      <c r="S44">
        <v>6052.3169613580403</v>
      </c>
      <c r="T44">
        <v>13290</v>
      </c>
      <c r="U44">
        <v>15130.7924033951</v>
      </c>
      <c r="V44" s="10">
        <f t="shared" si="4"/>
        <v>61359.746779837005</v>
      </c>
    </row>
    <row r="45" spans="1:27" ht="16" x14ac:dyDescent="0.2">
      <c r="A45">
        <v>40</v>
      </c>
      <c r="B45" t="s">
        <v>101</v>
      </c>
      <c r="C45">
        <v>1</v>
      </c>
      <c r="D45" t="s">
        <v>103</v>
      </c>
      <c r="E45">
        <v>3</v>
      </c>
      <c r="F45">
        <v>8</v>
      </c>
      <c r="G45">
        <v>5</v>
      </c>
      <c r="H45">
        <v>443000</v>
      </c>
      <c r="I45">
        <v>26580</v>
      </c>
      <c r="J45">
        <v>8199.7467798370599</v>
      </c>
      <c r="K45">
        <v>26580</v>
      </c>
      <c r="L45">
        <v>504359.74677983701</v>
      </c>
      <c r="M45">
        <v>738.33333333333303</v>
      </c>
      <c r="N45">
        <v>3322.49999999999</v>
      </c>
      <c r="O45">
        <v>300</v>
      </c>
      <c r="P45">
        <v>250</v>
      </c>
      <c r="Q45">
        <v>4610.8333333333303</v>
      </c>
      <c r="R45">
        <v>4430</v>
      </c>
      <c r="S45">
        <v>6052.3169613580403</v>
      </c>
      <c r="T45">
        <v>13290</v>
      </c>
      <c r="U45">
        <v>15130.7924033951</v>
      </c>
      <c r="V45" s="10">
        <f t="shared" si="4"/>
        <v>61359.746779837005</v>
      </c>
    </row>
    <row r="46" spans="1:27" ht="16" x14ac:dyDescent="0.2">
      <c r="A46">
        <v>43</v>
      </c>
      <c r="B46" t="s">
        <v>101</v>
      </c>
      <c r="C46">
        <v>1</v>
      </c>
      <c r="D46" t="s">
        <v>104</v>
      </c>
      <c r="E46">
        <v>3</v>
      </c>
      <c r="F46">
        <v>8</v>
      </c>
      <c r="G46">
        <v>5</v>
      </c>
      <c r="H46">
        <v>676000</v>
      </c>
      <c r="I46">
        <v>33800</v>
      </c>
      <c r="J46">
        <v>13883.202216778</v>
      </c>
      <c r="K46">
        <v>33800</v>
      </c>
      <c r="L46">
        <v>757483.20221677795</v>
      </c>
      <c r="M46">
        <v>1126.6666666666599</v>
      </c>
      <c r="N46">
        <v>5069.99999999999</v>
      </c>
      <c r="O46">
        <v>300</v>
      </c>
      <c r="P46">
        <v>250</v>
      </c>
      <c r="Q46">
        <v>6746.6666666666597</v>
      </c>
      <c r="R46">
        <v>6760</v>
      </c>
      <c r="S46">
        <v>9089.79842660133</v>
      </c>
      <c r="T46">
        <v>20280</v>
      </c>
      <c r="U46">
        <v>22724.4960665033</v>
      </c>
      <c r="V46" s="10">
        <f t="shared" si="4"/>
        <v>81483.202216777951</v>
      </c>
    </row>
    <row r="47" spans="1:27" ht="16" x14ac:dyDescent="0.2">
      <c r="A47">
        <v>44</v>
      </c>
      <c r="B47" t="s">
        <v>101</v>
      </c>
      <c r="C47">
        <v>1</v>
      </c>
      <c r="D47" t="s">
        <v>104</v>
      </c>
      <c r="E47">
        <v>3</v>
      </c>
      <c r="F47">
        <v>8</v>
      </c>
      <c r="G47">
        <v>5</v>
      </c>
      <c r="H47">
        <v>676000</v>
      </c>
      <c r="I47">
        <v>33800</v>
      </c>
      <c r="J47">
        <v>13883.202216778</v>
      </c>
      <c r="K47">
        <v>33800</v>
      </c>
      <c r="L47">
        <v>757483.20221677795</v>
      </c>
      <c r="M47">
        <v>1126.6666666666599</v>
      </c>
      <c r="N47">
        <v>5069.99999999999</v>
      </c>
      <c r="O47">
        <v>300</v>
      </c>
      <c r="P47">
        <v>250</v>
      </c>
      <c r="Q47">
        <v>6746.6666666666597</v>
      </c>
      <c r="R47">
        <v>6760</v>
      </c>
      <c r="S47">
        <v>9089.79842660133</v>
      </c>
      <c r="T47">
        <v>20280</v>
      </c>
      <c r="U47">
        <v>22724.4960665033</v>
      </c>
      <c r="V47" s="10">
        <f t="shared" si="4"/>
        <v>81483.202216777951</v>
      </c>
    </row>
    <row r="48" spans="1:27" ht="16" x14ac:dyDescent="0.2">
      <c r="A48">
        <v>45</v>
      </c>
      <c r="B48" t="s">
        <v>101</v>
      </c>
      <c r="C48">
        <v>1</v>
      </c>
      <c r="D48" t="s">
        <v>104</v>
      </c>
      <c r="E48">
        <v>3</v>
      </c>
      <c r="F48">
        <v>8</v>
      </c>
      <c r="G48">
        <v>5</v>
      </c>
      <c r="H48">
        <v>676000</v>
      </c>
      <c r="I48">
        <v>33800</v>
      </c>
      <c r="J48">
        <v>13883.202216778</v>
      </c>
      <c r="K48">
        <v>33800</v>
      </c>
      <c r="L48">
        <v>757483.20221677795</v>
      </c>
      <c r="M48">
        <v>1126.6666666666599</v>
      </c>
      <c r="N48">
        <v>5069.99999999999</v>
      </c>
      <c r="O48">
        <v>300</v>
      </c>
      <c r="P48">
        <v>250</v>
      </c>
      <c r="Q48">
        <v>6746.6666666666597</v>
      </c>
      <c r="R48">
        <v>6760</v>
      </c>
      <c r="S48">
        <v>9089.79842660133</v>
      </c>
      <c r="T48">
        <v>20280</v>
      </c>
      <c r="U48">
        <v>22724.4960665033</v>
      </c>
      <c r="V48" s="10">
        <f t="shared" si="4"/>
        <v>81483.202216777951</v>
      </c>
    </row>
    <row r="49" spans="1:22" ht="16" x14ac:dyDescent="0.2">
      <c r="A49">
        <v>46</v>
      </c>
      <c r="B49" t="s">
        <v>101</v>
      </c>
      <c r="C49">
        <v>1</v>
      </c>
      <c r="D49" t="s">
        <v>102</v>
      </c>
      <c r="E49">
        <v>4</v>
      </c>
      <c r="F49">
        <v>8</v>
      </c>
      <c r="G49">
        <v>4</v>
      </c>
      <c r="H49">
        <v>338000</v>
      </c>
      <c r="I49">
        <v>27040</v>
      </c>
      <c r="J49">
        <v>4447.8784912198998</v>
      </c>
      <c r="K49">
        <v>27040</v>
      </c>
      <c r="L49">
        <v>396527.87849121902</v>
      </c>
      <c r="M49">
        <v>450.666666666666</v>
      </c>
      <c r="N49">
        <v>2027.99999999999</v>
      </c>
      <c r="O49">
        <v>240</v>
      </c>
      <c r="P49">
        <v>200</v>
      </c>
      <c r="Q49">
        <v>2918.6666666666601</v>
      </c>
      <c r="R49">
        <v>3380</v>
      </c>
      <c r="S49">
        <v>4758.3345418946301</v>
      </c>
      <c r="T49">
        <v>10140</v>
      </c>
      <c r="U49">
        <v>11895.836354736501</v>
      </c>
      <c r="V49" s="10">
        <f t="shared" si="4"/>
        <v>58527.878491219017</v>
      </c>
    </row>
    <row r="50" spans="1:22" ht="16" x14ac:dyDescent="0.2">
      <c r="A50">
        <v>48</v>
      </c>
      <c r="B50" t="s">
        <v>101</v>
      </c>
      <c r="C50">
        <v>1</v>
      </c>
      <c r="D50" t="s">
        <v>102</v>
      </c>
      <c r="E50">
        <v>4</v>
      </c>
      <c r="F50">
        <v>8</v>
      </c>
      <c r="G50">
        <v>4</v>
      </c>
      <c r="H50">
        <v>338000</v>
      </c>
      <c r="I50">
        <v>27040</v>
      </c>
      <c r="J50">
        <v>4447.8784912198998</v>
      </c>
      <c r="K50">
        <v>27040</v>
      </c>
      <c r="L50">
        <v>396527.87849121902</v>
      </c>
      <c r="M50">
        <v>450.666666666666</v>
      </c>
      <c r="N50">
        <v>2027.99999999999</v>
      </c>
      <c r="O50">
        <v>240</v>
      </c>
      <c r="P50">
        <v>200</v>
      </c>
      <c r="Q50">
        <v>2918.6666666666601</v>
      </c>
      <c r="R50">
        <v>3380</v>
      </c>
      <c r="S50">
        <v>4758.3345418946301</v>
      </c>
      <c r="T50">
        <v>10140</v>
      </c>
      <c r="U50">
        <v>11895.836354736501</v>
      </c>
      <c r="V50" s="10">
        <f t="shared" si="4"/>
        <v>58527.878491219017</v>
      </c>
    </row>
    <row r="51" spans="1:22" ht="16" x14ac:dyDescent="0.2">
      <c r="A51">
        <v>49</v>
      </c>
      <c r="B51" t="s">
        <v>101</v>
      </c>
      <c r="C51">
        <v>1</v>
      </c>
      <c r="D51" t="s">
        <v>102</v>
      </c>
      <c r="E51">
        <v>4</v>
      </c>
      <c r="F51">
        <v>8</v>
      </c>
      <c r="G51">
        <v>4</v>
      </c>
      <c r="H51">
        <v>338000</v>
      </c>
      <c r="I51">
        <v>27040</v>
      </c>
      <c r="J51">
        <v>4447.8784912198998</v>
      </c>
      <c r="K51">
        <v>27040</v>
      </c>
      <c r="L51">
        <v>396527.87849121902</v>
      </c>
      <c r="M51">
        <v>450.666666666666</v>
      </c>
      <c r="N51">
        <v>2027.99999999999</v>
      </c>
      <c r="O51">
        <v>240</v>
      </c>
      <c r="P51">
        <v>200</v>
      </c>
      <c r="Q51">
        <v>2918.6666666666601</v>
      </c>
      <c r="R51">
        <v>3380</v>
      </c>
      <c r="S51">
        <v>4758.3345418946301</v>
      </c>
      <c r="T51">
        <v>10140</v>
      </c>
      <c r="U51">
        <v>11895.836354736501</v>
      </c>
      <c r="V51" s="10">
        <f t="shared" si="4"/>
        <v>58527.878491219017</v>
      </c>
    </row>
    <row r="52" spans="1:22" ht="16" x14ac:dyDescent="0.2">
      <c r="A52">
        <v>51</v>
      </c>
      <c r="B52" t="s">
        <v>101</v>
      </c>
      <c r="C52">
        <v>1</v>
      </c>
      <c r="D52" t="s">
        <v>102</v>
      </c>
      <c r="E52">
        <v>4</v>
      </c>
      <c r="F52">
        <v>8</v>
      </c>
      <c r="G52">
        <v>4</v>
      </c>
      <c r="H52">
        <v>338000</v>
      </c>
      <c r="I52">
        <v>27040</v>
      </c>
      <c r="J52">
        <v>4447.8784912198998</v>
      </c>
      <c r="K52">
        <v>27040</v>
      </c>
      <c r="L52">
        <v>396527.87849121902</v>
      </c>
      <c r="M52">
        <v>450.666666666666</v>
      </c>
      <c r="N52">
        <v>2027.99999999999</v>
      </c>
      <c r="O52">
        <v>240</v>
      </c>
      <c r="P52">
        <v>200</v>
      </c>
      <c r="Q52">
        <v>2918.6666666666601</v>
      </c>
      <c r="R52">
        <v>3380</v>
      </c>
      <c r="S52">
        <v>4758.3345418946301</v>
      </c>
      <c r="T52">
        <v>10140</v>
      </c>
      <c r="U52">
        <v>11895.836354736501</v>
      </c>
      <c r="V52" s="10">
        <f t="shared" si="4"/>
        <v>58527.878491219017</v>
      </c>
    </row>
    <row r="53" spans="1:22" ht="16" x14ac:dyDescent="0.2">
      <c r="A53">
        <v>54</v>
      </c>
      <c r="B53" t="s">
        <v>101</v>
      </c>
      <c r="C53">
        <v>1</v>
      </c>
      <c r="D53" t="s">
        <v>102</v>
      </c>
      <c r="E53">
        <v>4</v>
      </c>
      <c r="F53">
        <v>8</v>
      </c>
      <c r="G53">
        <v>4</v>
      </c>
      <c r="H53">
        <v>338000</v>
      </c>
      <c r="I53">
        <v>27040</v>
      </c>
      <c r="J53">
        <v>4447.8784912198998</v>
      </c>
      <c r="K53">
        <v>27040</v>
      </c>
      <c r="L53">
        <v>396527.87849121902</v>
      </c>
      <c r="M53">
        <v>450.666666666666</v>
      </c>
      <c r="N53">
        <v>2027.99999999999</v>
      </c>
      <c r="O53">
        <v>240</v>
      </c>
      <c r="P53">
        <v>200</v>
      </c>
      <c r="Q53">
        <v>2918.6666666666601</v>
      </c>
      <c r="R53">
        <v>3380</v>
      </c>
      <c r="S53">
        <v>4758.3345418946301</v>
      </c>
      <c r="T53">
        <v>10140</v>
      </c>
      <c r="U53">
        <v>11895.836354736501</v>
      </c>
      <c r="V53" s="10">
        <f t="shared" si="4"/>
        <v>58527.878491219017</v>
      </c>
    </row>
    <row r="54" spans="1:22" ht="16" x14ac:dyDescent="0.2">
      <c r="A54">
        <v>55</v>
      </c>
      <c r="B54" t="s">
        <v>101</v>
      </c>
      <c r="C54">
        <v>1</v>
      </c>
      <c r="D54" t="s">
        <v>103</v>
      </c>
      <c r="E54">
        <v>4</v>
      </c>
      <c r="F54">
        <v>8</v>
      </c>
      <c r="G54">
        <v>4</v>
      </c>
      <c r="H54">
        <v>443000</v>
      </c>
      <c r="I54">
        <v>26580</v>
      </c>
      <c r="J54">
        <v>6547.7445023945402</v>
      </c>
      <c r="K54">
        <v>26580</v>
      </c>
      <c r="L54">
        <v>502707.74450239399</v>
      </c>
      <c r="M54">
        <v>590.66666666666595</v>
      </c>
      <c r="N54">
        <v>2657.99999999999</v>
      </c>
      <c r="O54">
        <v>240</v>
      </c>
      <c r="P54">
        <v>200</v>
      </c>
      <c r="Q54">
        <v>3688.6666666666601</v>
      </c>
      <c r="R54">
        <v>4430</v>
      </c>
      <c r="S54">
        <v>6032.4929340287299</v>
      </c>
      <c r="T54">
        <v>13290</v>
      </c>
      <c r="U54">
        <v>15081.2323350718</v>
      </c>
      <c r="V54" s="10">
        <f t="shared" si="4"/>
        <v>59707.744502393994</v>
      </c>
    </row>
    <row r="55" spans="1:22" ht="16" x14ac:dyDescent="0.2">
      <c r="A55">
        <v>57</v>
      </c>
      <c r="B55" t="s">
        <v>101</v>
      </c>
      <c r="C55">
        <v>1</v>
      </c>
      <c r="D55" t="s">
        <v>103</v>
      </c>
      <c r="E55">
        <v>4</v>
      </c>
      <c r="F55">
        <v>8</v>
      </c>
      <c r="G55">
        <v>4</v>
      </c>
      <c r="H55">
        <v>443000</v>
      </c>
      <c r="I55">
        <v>26580</v>
      </c>
      <c r="J55">
        <v>6547.7445023945402</v>
      </c>
      <c r="K55">
        <v>26580</v>
      </c>
      <c r="L55">
        <v>502707.74450239399</v>
      </c>
      <c r="M55">
        <v>590.66666666666595</v>
      </c>
      <c r="N55">
        <v>2657.99999999999</v>
      </c>
      <c r="O55">
        <v>240</v>
      </c>
      <c r="P55">
        <v>200</v>
      </c>
      <c r="Q55">
        <v>3688.6666666666601</v>
      </c>
      <c r="R55">
        <v>4430</v>
      </c>
      <c r="S55">
        <v>6032.4929340287299</v>
      </c>
      <c r="T55">
        <v>13290</v>
      </c>
      <c r="U55">
        <v>15081.2323350718</v>
      </c>
      <c r="V55" s="10">
        <f t="shared" si="4"/>
        <v>59707.744502393994</v>
      </c>
    </row>
    <row r="56" spans="1:22" ht="16" x14ac:dyDescent="0.2">
      <c r="A56">
        <v>59</v>
      </c>
      <c r="B56" t="s">
        <v>101</v>
      </c>
      <c r="C56">
        <v>1</v>
      </c>
      <c r="D56" t="s">
        <v>103</v>
      </c>
      <c r="E56">
        <v>4</v>
      </c>
      <c r="F56">
        <v>8</v>
      </c>
      <c r="G56">
        <v>4</v>
      </c>
      <c r="H56">
        <v>443000</v>
      </c>
      <c r="I56">
        <v>26580</v>
      </c>
      <c r="J56">
        <v>6547.7445023945402</v>
      </c>
      <c r="K56">
        <v>26580</v>
      </c>
      <c r="L56">
        <v>502707.74450239399</v>
      </c>
      <c r="M56">
        <v>590.66666666666595</v>
      </c>
      <c r="N56">
        <v>2657.99999999999</v>
      </c>
      <c r="O56">
        <v>240</v>
      </c>
      <c r="P56">
        <v>200</v>
      </c>
      <c r="Q56">
        <v>3688.6666666666601</v>
      </c>
      <c r="R56">
        <v>4430</v>
      </c>
      <c r="S56">
        <v>6032.4929340287299</v>
      </c>
      <c r="T56">
        <v>13290</v>
      </c>
      <c r="U56">
        <v>15081.2323350718</v>
      </c>
      <c r="V56" s="10">
        <f t="shared" si="4"/>
        <v>59707.744502393994</v>
      </c>
    </row>
    <row r="57" spans="1:22" ht="16" x14ac:dyDescent="0.2">
      <c r="A57">
        <v>66</v>
      </c>
      <c r="B57" t="s">
        <v>101</v>
      </c>
      <c r="C57">
        <v>1</v>
      </c>
      <c r="D57" t="s">
        <v>103</v>
      </c>
      <c r="E57">
        <v>4</v>
      </c>
      <c r="F57">
        <v>8</v>
      </c>
      <c r="G57">
        <v>4</v>
      </c>
      <c r="H57">
        <v>443000</v>
      </c>
      <c r="I57">
        <v>26580</v>
      </c>
      <c r="J57">
        <v>6547.7445023945402</v>
      </c>
      <c r="K57">
        <v>26580</v>
      </c>
      <c r="L57">
        <v>502707.74450239399</v>
      </c>
      <c r="M57">
        <v>590.66666666666595</v>
      </c>
      <c r="N57">
        <v>2657.99999999999</v>
      </c>
      <c r="O57">
        <v>240</v>
      </c>
      <c r="P57">
        <v>200</v>
      </c>
      <c r="Q57">
        <v>3688.6666666666601</v>
      </c>
      <c r="R57">
        <v>4430</v>
      </c>
      <c r="S57">
        <v>6032.4929340287299</v>
      </c>
      <c r="T57">
        <v>13290</v>
      </c>
      <c r="U57">
        <v>15081.2323350718</v>
      </c>
      <c r="V57" s="10">
        <f t="shared" si="4"/>
        <v>59707.744502393994</v>
      </c>
    </row>
    <row r="58" spans="1:22" ht="16" x14ac:dyDescent="0.2">
      <c r="A58">
        <v>72</v>
      </c>
      <c r="B58" t="s">
        <v>101</v>
      </c>
      <c r="C58">
        <v>1</v>
      </c>
      <c r="D58" t="s">
        <v>102</v>
      </c>
      <c r="E58">
        <v>5</v>
      </c>
      <c r="F58">
        <v>8</v>
      </c>
      <c r="G58">
        <v>3</v>
      </c>
      <c r="H58">
        <v>338000</v>
      </c>
      <c r="I58">
        <v>27040</v>
      </c>
      <c r="J58">
        <v>3330.4514135514601</v>
      </c>
      <c r="K58">
        <v>27040</v>
      </c>
      <c r="L58">
        <v>395410.451413551</v>
      </c>
      <c r="M58">
        <v>338</v>
      </c>
      <c r="N58">
        <v>1520.99999999999</v>
      </c>
      <c r="O58">
        <v>180</v>
      </c>
      <c r="P58">
        <v>150</v>
      </c>
      <c r="Q58">
        <v>2189</v>
      </c>
      <c r="R58">
        <v>3380</v>
      </c>
      <c r="S58">
        <v>4744.9254169626101</v>
      </c>
      <c r="T58">
        <v>10140</v>
      </c>
      <c r="U58">
        <v>11862.3135424065</v>
      </c>
      <c r="V58" s="10">
        <f t="shared" si="4"/>
        <v>57410.451413550996</v>
      </c>
    </row>
    <row r="59" spans="1:22" ht="16" x14ac:dyDescent="0.2">
      <c r="A59">
        <v>78</v>
      </c>
      <c r="B59" t="s">
        <v>101</v>
      </c>
      <c r="C59">
        <v>1</v>
      </c>
      <c r="D59" t="s">
        <v>102</v>
      </c>
      <c r="E59">
        <v>5</v>
      </c>
      <c r="F59">
        <v>8</v>
      </c>
      <c r="G59">
        <v>3</v>
      </c>
      <c r="H59">
        <v>338000</v>
      </c>
      <c r="I59">
        <v>27040</v>
      </c>
      <c r="J59">
        <v>3330.4514135514601</v>
      </c>
      <c r="K59">
        <v>27040</v>
      </c>
      <c r="L59">
        <v>395410.451413551</v>
      </c>
      <c r="M59">
        <v>338</v>
      </c>
      <c r="N59">
        <v>1520.99999999999</v>
      </c>
      <c r="O59">
        <v>180</v>
      </c>
      <c r="P59">
        <v>150</v>
      </c>
      <c r="Q59">
        <v>2189</v>
      </c>
      <c r="R59">
        <v>3380</v>
      </c>
      <c r="S59">
        <v>4744.9254169626101</v>
      </c>
      <c r="T59">
        <v>10140</v>
      </c>
      <c r="U59">
        <v>11862.3135424065</v>
      </c>
      <c r="V59" s="10">
        <f t="shared" si="4"/>
        <v>57410.451413550996</v>
      </c>
    </row>
    <row r="60" spans="1:22" ht="16" x14ac:dyDescent="0.2">
      <c r="A60">
        <v>82</v>
      </c>
      <c r="B60" t="s">
        <v>101</v>
      </c>
      <c r="C60">
        <v>1</v>
      </c>
      <c r="D60" t="s">
        <v>102</v>
      </c>
      <c r="E60">
        <v>5</v>
      </c>
      <c r="F60">
        <v>8</v>
      </c>
      <c r="G60">
        <v>3</v>
      </c>
      <c r="H60">
        <v>338000</v>
      </c>
      <c r="I60">
        <v>27040</v>
      </c>
      <c r="J60">
        <v>3330.4514135514601</v>
      </c>
      <c r="K60">
        <v>27040</v>
      </c>
      <c r="L60">
        <v>395410.451413551</v>
      </c>
      <c r="M60">
        <v>338</v>
      </c>
      <c r="N60">
        <v>1520.99999999999</v>
      </c>
      <c r="O60">
        <v>180</v>
      </c>
      <c r="P60">
        <v>150</v>
      </c>
      <c r="Q60">
        <v>2189</v>
      </c>
      <c r="R60">
        <v>3380</v>
      </c>
      <c r="S60">
        <v>4744.9254169626101</v>
      </c>
      <c r="T60">
        <v>10140</v>
      </c>
      <c r="U60">
        <v>11862.3135424065</v>
      </c>
      <c r="V60" s="10">
        <f t="shared" si="4"/>
        <v>57410.451413550996</v>
      </c>
    </row>
    <row r="61" spans="1:22" ht="16" x14ac:dyDescent="0.2">
      <c r="V61" s="11">
        <f>SUM(V34:V60)</f>
        <v>1733494.5589310578</v>
      </c>
    </row>
    <row r="62" spans="1:22" ht="16" x14ac:dyDescent="0.2">
      <c r="A62">
        <v>34</v>
      </c>
      <c r="B62" t="s">
        <v>101</v>
      </c>
      <c r="C62">
        <v>1</v>
      </c>
      <c r="D62" t="s">
        <v>103</v>
      </c>
      <c r="E62">
        <v>3</v>
      </c>
      <c r="F62">
        <v>9</v>
      </c>
      <c r="G62">
        <v>6</v>
      </c>
      <c r="H62">
        <v>443000</v>
      </c>
      <c r="I62">
        <v>26580</v>
      </c>
      <c r="J62">
        <v>9857.8198507783309</v>
      </c>
      <c r="K62">
        <v>26580</v>
      </c>
      <c r="L62">
        <v>506017.81985077797</v>
      </c>
      <c r="M62">
        <v>886</v>
      </c>
      <c r="N62">
        <v>3986.99999999999</v>
      </c>
      <c r="O62">
        <v>360</v>
      </c>
      <c r="P62">
        <v>300</v>
      </c>
      <c r="Q62">
        <v>5533</v>
      </c>
      <c r="R62">
        <v>4430</v>
      </c>
      <c r="S62">
        <v>6072.2138382093399</v>
      </c>
      <c r="T62">
        <v>13290</v>
      </c>
      <c r="U62">
        <v>15180.534595523301</v>
      </c>
      <c r="V62" s="10">
        <f t="shared" ref="V62:V88" si="5">L62-H62</f>
        <v>63017.819850777974</v>
      </c>
    </row>
    <row r="63" spans="1:22" ht="16" x14ac:dyDescent="0.2">
      <c r="A63">
        <v>35</v>
      </c>
      <c r="B63" t="s">
        <v>101</v>
      </c>
      <c r="C63">
        <v>1</v>
      </c>
      <c r="D63" t="s">
        <v>103</v>
      </c>
      <c r="E63">
        <v>3</v>
      </c>
      <c r="F63">
        <v>9</v>
      </c>
      <c r="G63">
        <v>6</v>
      </c>
      <c r="H63">
        <v>443000</v>
      </c>
      <c r="I63">
        <v>26580</v>
      </c>
      <c r="J63">
        <v>9857.8198507783309</v>
      </c>
      <c r="K63">
        <v>26580</v>
      </c>
      <c r="L63">
        <v>506017.81985077797</v>
      </c>
      <c r="M63">
        <v>886</v>
      </c>
      <c r="N63">
        <v>3986.99999999999</v>
      </c>
      <c r="O63">
        <v>360</v>
      </c>
      <c r="P63">
        <v>300</v>
      </c>
      <c r="Q63">
        <v>5533</v>
      </c>
      <c r="R63">
        <v>4430</v>
      </c>
      <c r="S63">
        <v>6072.2138382093399</v>
      </c>
      <c r="T63">
        <v>13290</v>
      </c>
      <c r="U63">
        <v>15180.534595523301</v>
      </c>
      <c r="V63" s="10">
        <f t="shared" si="5"/>
        <v>63017.819850777974</v>
      </c>
    </row>
    <row r="64" spans="1:22" ht="16" x14ac:dyDescent="0.2">
      <c r="A64">
        <v>37</v>
      </c>
      <c r="B64" t="s">
        <v>101</v>
      </c>
      <c r="C64">
        <v>1</v>
      </c>
      <c r="D64" t="s">
        <v>103</v>
      </c>
      <c r="E64">
        <v>3</v>
      </c>
      <c r="F64">
        <v>9</v>
      </c>
      <c r="G64">
        <v>6</v>
      </c>
      <c r="H64">
        <v>443000</v>
      </c>
      <c r="I64">
        <v>26580</v>
      </c>
      <c r="J64">
        <v>9857.8198507783309</v>
      </c>
      <c r="K64">
        <v>26580</v>
      </c>
      <c r="L64">
        <v>506017.81985077797</v>
      </c>
      <c r="M64">
        <v>886</v>
      </c>
      <c r="N64">
        <v>3986.99999999999</v>
      </c>
      <c r="O64">
        <v>360</v>
      </c>
      <c r="P64">
        <v>300</v>
      </c>
      <c r="Q64">
        <v>5533</v>
      </c>
      <c r="R64">
        <v>4430</v>
      </c>
      <c r="S64">
        <v>6072.2138382093399</v>
      </c>
      <c r="T64">
        <v>13290</v>
      </c>
      <c r="U64">
        <v>15180.534595523301</v>
      </c>
      <c r="V64" s="10">
        <f t="shared" si="5"/>
        <v>63017.819850777974</v>
      </c>
    </row>
    <row r="65" spans="1:22" ht="16" x14ac:dyDescent="0.2">
      <c r="A65">
        <v>38</v>
      </c>
      <c r="B65" t="s">
        <v>101</v>
      </c>
      <c r="C65">
        <v>1</v>
      </c>
      <c r="D65" t="s">
        <v>103</v>
      </c>
      <c r="E65">
        <v>3</v>
      </c>
      <c r="F65">
        <v>9</v>
      </c>
      <c r="G65">
        <v>6</v>
      </c>
      <c r="H65">
        <v>443000</v>
      </c>
      <c r="I65">
        <v>26580</v>
      </c>
      <c r="J65">
        <v>9857.8198507783309</v>
      </c>
      <c r="K65">
        <v>26580</v>
      </c>
      <c r="L65">
        <v>506017.81985077797</v>
      </c>
      <c r="M65">
        <v>886</v>
      </c>
      <c r="N65">
        <v>3986.99999999999</v>
      </c>
      <c r="O65">
        <v>360</v>
      </c>
      <c r="P65">
        <v>300</v>
      </c>
      <c r="Q65">
        <v>5533</v>
      </c>
      <c r="R65">
        <v>4430</v>
      </c>
      <c r="S65">
        <v>6072.2138382093399</v>
      </c>
      <c r="T65">
        <v>13290</v>
      </c>
      <c r="U65">
        <v>15180.534595523301</v>
      </c>
      <c r="V65" s="10">
        <f t="shared" si="5"/>
        <v>63017.819850777974</v>
      </c>
    </row>
    <row r="66" spans="1:22" ht="16" x14ac:dyDescent="0.2">
      <c r="A66">
        <v>41</v>
      </c>
      <c r="B66" t="s">
        <v>101</v>
      </c>
      <c r="C66">
        <v>1</v>
      </c>
      <c r="D66" t="s">
        <v>103</v>
      </c>
      <c r="E66">
        <v>3</v>
      </c>
      <c r="F66">
        <v>9</v>
      </c>
      <c r="G66">
        <v>6</v>
      </c>
      <c r="H66">
        <v>443000</v>
      </c>
      <c r="I66">
        <v>26580</v>
      </c>
      <c r="J66">
        <v>9857.8198507783309</v>
      </c>
      <c r="K66">
        <v>26580</v>
      </c>
      <c r="L66">
        <v>506017.81985077797</v>
      </c>
      <c r="M66">
        <v>886</v>
      </c>
      <c r="N66">
        <v>3986.99999999999</v>
      </c>
      <c r="O66">
        <v>360</v>
      </c>
      <c r="P66">
        <v>300</v>
      </c>
      <c r="Q66">
        <v>5533</v>
      </c>
      <c r="R66">
        <v>4430</v>
      </c>
      <c r="S66">
        <v>6072.2138382093399</v>
      </c>
      <c r="T66">
        <v>13290</v>
      </c>
      <c r="U66">
        <v>15180.534595523301</v>
      </c>
      <c r="V66" s="10">
        <f t="shared" si="5"/>
        <v>63017.819850777974</v>
      </c>
    </row>
    <row r="67" spans="1:22" ht="16" x14ac:dyDescent="0.2">
      <c r="A67">
        <v>60</v>
      </c>
      <c r="B67" t="s">
        <v>101</v>
      </c>
      <c r="C67">
        <v>1</v>
      </c>
      <c r="D67" t="s">
        <v>103</v>
      </c>
      <c r="E67">
        <v>4</v>
      </c>
      <c r="F67">
        <v>9</v>
      </c>
      <c r="G67">
        <v>5</v>
      </c>
      <c r="H67">
        <v>443000</v>
      </c>
      <c r="I67">
        <v>26580</v>
      </c>
      <c r="J67">
        <v>8199.7467798370599</v>
      </c>
      <c r="K67">
        <v>26580</v>
      </c>
      <c r="L67">
        <v>504359.74677983701</v>
      </c>
      <c r="M67">
        <v>738.33333333333303</v>
      </c>
      <c r="N67">
        <v>3322.49999999999</v>
      </c>
      <c r="O67">
        <v>300</v>
      </c>
      <c r="P67">
        <v>250</v>
      </c>
      <c r="Q67">
        <v>4610.8333333333303</v>
      </c>
      <c r="R67">
        <v>4430</v>
      </c>
      <c r="S67">
        <v>6052.3169613580403</v>
      </c>
      <c r="T67">
        <v>13290</v>
      </c>
      <c r="U67">
        <v>15130.7924033951</v>
      </c>
      <c r="V67" s="10">
        <f t="shared" si="5"/>
        <v>61359.746779837005</v>
      </c>
    </row>
    <row r="68" spans="1:22" ht="16" x14ac:dyDescent="0.2">
      <c r="A68">
        <v>61</v>
      </c>
      <c r="B68" t="s">
        <v>101</v>
      </c>
      <c r="C68">
        <v>1</v>
      </c>
      <c r="D68" t="s">
        <v>103</v>
      </c>
      <c r="E68">
        <v>4</v>
      </c>
      <c r="F68">
        <v>9</v>
      </c>
      <c r="G68">
        <v>5</v>
      </c>
      <c r="H68">
        <v>443000</v>
      </c>
      <c r="I68">
        <v>26580</v>
      </c>
      <c r="J68">
        <v>8199.7467798370599</v>
      </c>
      <c r="K68">
        <v>26580</v>
      </c>
      <c r="L68">
        <v>504359.74677983701</v>
      </c>
      <c r="M68">
        <v>738.33333333333303</v>
      </c>
      <c r="N68">
        <v>3322.49999999999</v>
      </c>
      <c r="O68">
        <v>300</v>
      </c>
      <c r="P68">
        <v>250</v>
      </c>
      <c r="Q68">
        <v>4610.8333333333303</v>
      </c>
      <c r="R68">
        <v>4430</v>
      </c>
      <c r="S68">
        <v>6052.3169613580403</v>
      </c>
      <c r="T68">
        <v>13290</v>
      </c>
      <c r="U68">
        <v>15130.7924033951</v>
      </c>
      <c r="V68" s="10">
        <f t="shared" si="5"/>
        <v>61359.746779837005</v>
      </c>
    </row>
    <row r="69" spans="1:22" ht="16" x14ac:dyDescent="0.2">
      <c r="A69">
        <v>63</v>
      </c>
      <c r="B69" t="s">
        <v>101</v>
      </c>
      <c r="C69">
        <v>1</v>
      </c>
      <c r="D69" t="s">
        <v>103</v>
      </c>
      <c r="E69">
        <v>4</v>
      </c>
      <c r="F69">
        <v>9</v>
      </c>
      <c r="G69">
        <v>5</v>
      </c>
      <c r="H69">
        <v>443000</v>
      </c>
      <c r="I69">
        <v>26580</v>
      </c>
      <c r="J69">
        <v>8199.7467798370599</v>
      </c>
      <c r="K69">
        <v>26580</v>
      </c>
      <c r="L69">
        <v>504359.74677983701</v>
      </c>
      <c r="M69">
        <v>738.33333333333303</v>
      </c>
      <c r="N69">
        <v>3322.49999999999</v>
      </c>
      <c r="O69">
        <v>300</v>
      </c>
      <c r="P69">
        <v>250</v>
      </c>
      <c r="Q69">
        <v>4610.8333333333303</v>
      </c>
      <c r="R69">
        <v>4430</v>
      </c>
      <c r="S69">
        <v>6052.3169613580403</v>
      </c>
      <c r="T69">
        <v>13290</v>
      </c>
      <c r="U69">
        <v>15130.7924033951</v>
      </c>
      <c r="V69" s="10">
        <f t="shared" si="5"/>
        <v>61359.746779837005</v>
      </c>
    </row>
    <row r="70" spans="1:22" ht="16" x14ac:dyDescent="0.2">
      <c r="A70">
        <v>65</v>
      </c>
      <c r="B70" t="s">
        <v>101</v>
      </c>
      <c r="C70">
        <v>1</v>
      </c>
      <c r="D70" t="s">
        <v>103</v>
      </c>
      <c r="E70">
        <v>4</v>
      </c>
      <c r="F70">
        <v>9</v>
      </c>
      <c r="G70">
        <v>5</v>
      </c>
      <c r="H70">
        <v>443000</v>
      </c>
      <c r="I70">
        <v>26580</v>
      </c>
      <c r="J70">
        <v>8199.7467798370599</v>
      </c>
      <c r="K70">
        <v>26580</v>
      </c>
      <c r="L70">
        <v>504359.74677983701</v>
      </c>
      <c r="M70">
        <v>738.33333333333303</v>
      </c>
      <c r="N70">
        <v>3322.49999999999</v>
      </c>
      <c r="O70">
        <v>300</v>
      </c>
      <c r="P70">
        <v>250</v>
      </c>
      <c r="Q70">
        <v>4610.8333333333303</v>
      </c>
      <c r="R70">
        <v>4430</v>
      </c>
      <c r="S70">
        <v>6052.3169613580403</v>
      </c>
      <c r="T70">
        <v>13290</v>
      </c>
      <c r="U70">
        <v>15130.7924033951</v>
      </c>
      <c r="V70" s="10">
        <f t="shared" si="5"/>
        <v>61359.746779837005</v>
      </c>
    </row>
    <row r="71" spans="1:22" ht="16" x14ac:dyDescent="0.2">
      <c r="A71">
        <v>67</v>
      </c>
      <c r="B71" t="s">
        <v>101</v>
      </c>
      <c r="C71">
        <v>1</v>
      </c>
      <c r="D71" t="s">
        <v>104</v>
      </c>
      <c r="E71">
        <v>4</v>
      </c>
      <c r="F71">
        <v>9</v>
      </c>
      <c r="G71">
        <v>5</v>
      </c>
      <c r="H71">
        <v>676000</v>
      </c>
      <c r="I71">
        <v>33800</v>
      </c>
      <c r="J71">
        <v>13883.202216778</v>
      </c>
      <c r="K71">
        <v>33800</v>
      </c>
      <c r="L71">
        <v>757483.20221677795</v>
      </c>
      <c r="M71">
        <v>1126.6666666666599</v>
      </c>
      <c r="N71">
        <v>5069.99999999999</v>
      </c>
      <c r="O71">
        <v>300</v>
      </c>
      <c r="P71">
        <v>250</v>
      </c>
      <c r="Q71">
        <v>6746.6666666666597</v>
      </c>
      <c r="R71">
        <v>6760</v>
      </c>
      <c r="S71">
        <v>9089.79842660133</v>
      </c>
      <c r="T71">
        <v>20280</v>
      </c>
      <c r="U71">
        <v>22724.4960665033</v>
      </c>
      <c r="V71" s="10">
        <f t="shared" si="5"/>
        <v>81483.202216777951</v>
      </c>
    </row>
    <row r="72" spans="1:22" ht="16" x14ac:dyDescent="0.2">
      <c r="A72">
        <v>69</v>
      </c>
      <c r="B72" t="s">
        <v>101</v>
      </c>
      <c r="C72">
        <v>1</v>
      </c>
      <c r="D72" t="s">
        <v>104</v>
      </c>
      <c r="E72">
        <v>4</v>
      </c>
      <c r="F72">
        <v>9</v>
      </c>
      <c r="G72">
        <v>5</v>
      </c>
      <c r="H72">
        <v>676000</v>
      </c>
      <c r="I72">
        <v>33800</v>
      </c>
      <c r="J72">
        <v>13883.202216778</v>
      </c>
      <c r="K72">
        <v>33800</v>
      </c>
      <c r="L72">
        <v>757483.20221677795</v>
      </c>
      <c r="M72">
        <v>1126.6666666666599</v>
      </c>
      <c r="N72">
        <v>5069.99999999999</v>
      </c>
      <c r="O72">
        <v>300</v>
      </c>
      <c r="P72">
        <v>250</v>
      </c>
      <c r="Q72">
        <v>6746.6666666666597</v>
      </c>
      <c r="R72">
        <v>6760</v>
      </c>
      <c r="S72">
        <v>9089.79842660133</v>
      </c>
      <c r="T72">
        <v>20280</v>
      </c>
      <c r="U72">
        <v>22724.4960665033</v>
      </c>
      <c r="V72" s="10">
        <f t="shared" si="5"/>
        <v>81483.202216777951</v>
      </c>
    </row>
    <row r="73" spans="1:22" ht="16" x14ac:dyDescent="0.2">
      <c r="A73">
        <v>71</v>
      </c>
      <c r="B73" t="s">
        <v>101</v>
      </c>
      <c r="C73">
        <v>1</v>
      </c>
      <c r="D73" t="s">
        <v>102</v>
      </c>
      <c r="E73">
        <v>5</v>
      </c>
      <c r="F73">
        <v>9</v>
      </c>
      <c r="G73">
        <v>4</v>
      </c>
      <c r="H73">
        <v>338000</v>
      </c>
      <c r="I73">
        <v>27040</v>
      </c>
      <c r="J73">
        <v>4447.8784912198998</v>
      </c>
      <c r="K73">
        <v>27040</v>
      </c>
      <c r="L73">
        <v>396527.87849121902</v>
      </c>
      <c r="M73">
        <v>450.666666666666</v>
      </c>
      <c r="N73">
        <v>2027.99999999999</v>
      </c>
      <c r="O73">
        <v>240</v>
      </c>
      <c r="P73">
        <v>200</v>
      </c>
      <c r="Q73">
        <v>2918.6666666666601</v>
      </c>
      <c r="R73">
        <v>3380</v>
      </c>
      <c r="S73">
        <v>4758.3345418946301</v>
      </c>
      <c r="T73">
        <v>10140</v>
      </c>
      <c r="U73">
        <v>11895.836354736501</v>
      </c>
      <c r="V73" s="10">
        <f t="shared" si="5"/>
        <v>58527.878491219017</v>
      </c>
    </row>
    <row r="74" spans="1:22" ht="16" x14ac:dyDescent="0.2">
      <c r="A74">
        <v>73</v>
      </c>
      <c r="B74" t="s">
        <v>101</v>
      </c>
      <c r="C74">
        <v>1</v>
      </c>
      <c r="D74" t="s">
        <v>102</v>
      </c>
      <c r="E74">
        <v>5</v>
      </c>
      <c r="F74">
        <v>9</v>
      </c>
      <c r="G74">
        <v>4</v>
      </c>
      <c r="H74">
        <v>338000</v>
      </c>
      <c r="I74">
        <v>27040</v>
      </c>
      <c r="J74">
        <v>4447.8784912198998</v>
      </c>
      <c r="K74">
        <v>27040</v>
      </c>
      <c r="L74">
        <v>396527.87849121902</v>
      </c>
      <c r="M74">
        <v>450.666666666666</v>
      </c>
      <c r="N74">
        <v>2027.99999999999</v>
      </c>
      <c r="O74">
        <v>240</v>
      </c>
      <c r="P74">
        <v>200</v>
      </c>
      <c r="Q74">
        <v>2918.6666666666601</v>
      </c>
      <c r="R74">
        <v>3380</v>
      </c>
      <c r="S74">
        <v>4758.3345418946301</v>
      </c>
      <c r="T74">
        <v>10140</v>
      </c>
      <c r="U74">
        <v>11895.836354736501</v>
      </c>
      <c r="V74" s="10">
        <f t="shared" si="5"/>
        <v>58527.878491219017</v>
      </c>
    </row>
    <row r="75" spans="1:22" ht="16" x14ac:dyDescent="0.2">
      <c r="A75">
        <v>75</v>
      </c>
      <c r="B75" t="s">
        <v>101</v>
      </c>
      <c r="C75">
        <v>1</v>
      </c>
      <c r="D75" t="s">
        <v>102</v>
      </c>
      <c r="E75">
        <v>5</v>
      </c>
      <c r="F75">
        <v>9</v>
      </c>
      <c r="G75">
        <v>4</v>
      </c>
      <c r="H75">
        <v>338000</v>
      </c>
      <c r="I75">
        <v>27040</v>
      </c>
      <c r="J75">
        <v>4447.8784912198998</v>
      </c>
      <c r="K75">
        <v>27040</v>
      </c>
      <c r="L75">
        <v>396527.87849121902</v>
      </c>
      <c r="M75">
        <v>450.666666666666</v>
      </c>
      <c r="N75">
        <v>2027.99999999999</v>
      </c>
      <c r="O75">
        <v>240</v>
      </c>
      <c r="P75">
        <v>200</v>
      </c>
      <c r="Q75">
        <v>2918.6666666666601</v>
      </c>
      <c r="R75">
        <v>3380</v>
      </c>
      <c r="S75">
        <v>4758.3345418946301</v>
      </c>
      <c r="T75">
        <v>10140</v>
      </c>
      <c r="U75">
        <v>11895.836354736501</v>
      </c>
      <c r="V75" s="10">
        <f t="shared" si="5"/>
        <v>58527.878491219017</v>
      </c>
    </row>
    <row r="76" spans="1:22" ht="16" x14ac:dyDescent="0.2">
      <c r="A76">
        <v>79</v>
      </c>
      <c r="B76" t="s">
        <v>101</v>
      </c>
      <c r="C76">
        <v>1</v>
      </c>
      <c r="D76" t="s">
        <v>102</v>
      </c>
      <c r="E76">
        <v>5</v>
      </c>
      <c r="F76">
        <v>9</v>
      </c>
      <c r="G76">
        <v>4</v>
      </c>
      <c r="H76">
        <v>338000</v>
      </c>
      <c r="I76">
        <v>27040</v>
      </c>
      <c r="J76">
        <v>4447.8784912198998</v>
      </c>
      <c r="K76">
        <v>27040</v>
      </c>
      <c r="L76">
        <v>396527.87849121902</v>
      </c>
      <c r="M76">
        <v>450.666666666666</v>
      </c>
      <c r="N76">
        <v>2027.99999999999</v>
      </c>
      <c r="O76">
        <v>240</v>
      </c>
      <c r="P76">
        <v>200</v>
      </c>
      <c r="Q76">
        <v>2918.6666666666601</v>
      </c>
      <c r="R76">
        <v>3380</v>
      </c>
      <c r="S76">
        <v>4758.3345418946301</v>
      </c>
      <c r="T76">
        <v>10140</v>
      </c>
      <c r="U76">
        <v>11895.836354736501</v>
      </c>
      <c r="V76" s="10">
        <f t="shared" si="5"/>
        <v>58527.878491219017</v>
      </c>
    </row>
    <row r="77" spans="1:22" ht="16" x14ac:dyDescent="0.2">
      <c r="A77">
        <v>80</v>
      </c>
      <c r="B77" t="s">
        <v>101</v>
      </c>
      <c r="C77">
        <v>1</v>
      </c>
      <c r="D77" t="s">
        <v>102</v>
      </c>
      <c r="E77">
        <v>5</v>
      </c>
      <c r="F77">
        <v>9</v>
      </c>
      <c r="G77">
        <v>4</v>
      </c>
      <c r="H77">
        <v>338000</v>
      </c>
      <c r="I77">
        <v>27040</v>
      </c>
      <c r="J77">
        <v>4447.8784912198998</v>
      </c>
      <c r="K77">
        <v>27040</v>
      </c>
      <c r="L77">
        <v>396527.87849121902</v>
      </c>
      <c r="M77">
        <v>450.666666666666</v>
      </c>
      <c r="N77">
        <v>2027.99999999999</v>
      </c>
      <c r="O77">
        <v>240</v>
      </c>
      <c r="P77">
        <v>200</v>
      </c>
      <c r="Q77">
        <v>2918.6666666666601</v>
      </c>
      <c r="R77">
        <v>3380</v>
      </c>
      <c r="S77">
        <v>4758.3345418946301</v>
      </c>
      <c r="T77">
        <v>10140</v>
      </c>
      <c r="U77">
        <v>11895.836354736501</v>
      </c>
      <c r="V77" s="10">
        <f t="shared" si="5"/>
        <v>58527.878491219017</v>
      </c>
    </row>
    <row r="78" spans="1:22" ht="16" x14ac:dyDescent="0.2">
      <c r="A78">
        <v>81</v>
      </c>
      <c r="B78" t="s">
        <v>101</v>
      </c>
      <c r="C78">
        <v>1</v>
      </c>
      <c r="D78" t="s">
        <v>102</v>
      </c>
      <c r="E78">
        <v>5</v>
      </c>
      <c r="F78">
        <v>9</v>
      </c>
      <c r="G78">
        <v>4</v>
      </c>
      <c r="H78">
        <v>338000</v>
      </c>
      <c r="I78">
        <v>27040</v>
      </c>
      <c r="J78">
        <v>4447.8784912198998</v>
      </c>
      <c r="K78">
        <v>27040</v>
      </c>
      <c r="L78">
        <v>396527.87849121902</v>
      </c>
      <c r="M78">
        <v>450.666666666666</v>
      </c>
      <c r="N78">
        <v>2027.99999999999</v>
      </c>
      <c r="O78">
        <v>240</v>
      </c>
      <c r="P78">
        <v>200</v>
      </c>
      <c r="Q78">
        <v>2918.6666666666601</v>
      </c>
      <c r="R78">
        <v>3380</v>
      </c>
      <c r="S78">
        <v>4758.3345418946301</v>
      </c>
      <c r="T78">
        <v>10140</v>
      </c>
      <c r="U78">
        <v>11895.836354736501</v>
      </c>
      <c r="V78" s="10">
        <f t="shared" si="5"/>
        <v>58527.878491219017</v>
      </c>
    </row>
    <row r="79" spans="1:22" ht="16" x14ac:dyDescent="0.2">
      <c r="A79">
        <v>86</v>
      </c>
      <c r="B79" t="s">
        <v>101</v>
      </c>
      <c r="C79">
        <v>1</v>
      </c>
      <c r="D79" t="s">
        <v>103</v>
      </c>
      <c r="E79">
        <v>5</v>
      </c>
      <c r="F79">
        <v>9</v>
      </c>
      <c r="G79">
        <v>4</v>
      </c>
      <c r="H79">
        <v>443000</v>
      </c>
      <c r="I79">
        <v>26580</v>
      </c>
      <c r="J79">
        <v>6547.7445023945402</v>
      </c>
      <c r="K79">
        <v>26580</v>
      </c>
      <c r="L79">
        <v>502707.74450239399</v>
      </c>
      <c r="M79">
        <v>590.66666666666595</v>
      </c>
      <c r="N79">
        <v>2657.99999999999</v>
      </c>
      <c r="O79">
        <v>240</v>
      </c>
      <c r="P79">
        <v>200</v>
      </c>
      <c r="Q79">
        <v>3688.6666666666601</v>
      </c>
      <c r="R79">
        <v>4430</v>
      </c>
      <c r="S79">
        <v>6032.4929340287299</v>
      </c>
      <c r="T79">
        <v>13290</v>
      </c>
      <c r="U79">
        <v>15081.2323350718</v>
      </c>
      <c r="V79" s="10">
        <f t="shared" si="5"/>
        <v>59707.744502393994</v>
      </c>
    </row>
    <row r="80" spans="1:22" ht="16" x14ac:dyDescent="0.2">
      <c r="A80">
        <v>90</v>
      </c>
      <c r="B80" t="s">
        <v>101</v>
      </c>
      <c r="C80">
        <v>1</v>
      </c>
      <c r="D80" t="s">
        <v>103</v>
      </c>
      <c r="E80">
        <v>5</v>
      </c>
      <c r="F80">
        <v>9</v>
      </c>
      <c r="G80">
        <v>4</v>
      </c>
      <c r="H80">
        <v>443000</v>
      </c>
      <c r="I80">
        <v>26580</v>
      </c>
      <c r="J80">
        <v>6547.7445023945402</v>
      </c>
      <c r="K80">
        <v>26580</v>
      </c>
      <c r="L80">
        <v>502707.74450239399</v>
      </c>
      <c r="M80">
        <v>590.66666666666595</v>
      </c>
      <c r="N80">
        <v>2657.99999999999</v>
      </c>
      <c r="O80">
        <v>240</v>
      </c>
      <c r="P80">
        <v>200</v>
      </c>
      <c r="Q80">
        <v>3688.6666666666601</v>
      </c>
      <c r="R80">
        <v>4430</v>
      </c>
      <c r="S80">
        <v>6032.4929340287299</v>
      </c>
      <c r="T80">
        <v>13290</v>
      </c>
      <c r="U80">
        <v>15081.2323350718</v>
      </c>
      <c r="V80" s="10">
        <f t="shared" si="5"/>
        <v>59707.744502393994</v>
      </c>
    </row>
    <row r="81" spans="1:22" ht="16" x14ac:dyDescent="0.2">
      <c r="A81">
        <v>92</v>
      </c>
      <c r="B81" t="s">
        <v>101</v>
      </c>
      <c r="C81">
        <v>1</v>
      </c>
      <c r="D81" t="s">
        <v>103</v>
      </c>
      <c r="E81">
        <v>5</v>
      </c>
      <c r="F81">
        <v>9</v>
      </c>
      <c r="G81">
        <v>4</v>
      </c>
      <c r="H81">
        <v>443000</v>
      </c>
      <c r="I81">
        <v>26580</v>
      </c>
      <c r="J81">
        <v>6547.7445023945402</v>
      </c>
      <c r="K81">
        <v>26580</v>
      </c>
      <c r="L81">
        <v>502707.74450239399</v>
      </c>
      <c r="M81">
        <v>590.66666666666595</v>
      </c>
      <c r="N81">
        <v>2657.99999999999</v>
      </c>
      <c r="O81">
        <v>240</v>
      </c>
      <c r="P81">
        <v>200</v>
      </c>
      <c r="Q81">
        <v>3688.6666666666601</v>
      </c>
      <c r="R81">
        <v>4430</v>
      </c>
      <c r="S81">
        <v>6032.4929340287299</v>
      </c>
      <c r="T81">
        <v>13290</v>
      </c>
      <c r="U81">
        <v>15081.2323350718</v>
      </c>
      <c r="V81" s="10">
        <f t="shared" si="5"/>
        <v>59707.744502393994</v>
      </c>
    </row>
    <row r="82" spans="1:22" ht="16" x14ac:dyDescent="0.2">
      <c r="A82">
        <v>94</v>
      </c>
      <c r="B82" t="s">
        <v>101</v>
      </c>
      <c r="C82">
        <v>1</v>
      </c>
      <c r="D82" t="s">
        <v>103</v>
      </c>
      <c r="E82">
        <v>5</v>
      </c>
      <c r="F82">
        <v>9</v>
      </c>
      <c r="G82">
        <v>4</v>
      </c>
      <c r="H82">
        <v>443000</v>
      </c>
      <c r="I82">
        <v>26580</v>
      </c>
      <c r="J82">
        <v>6547.7445023945402</v>
      </c>
      <c r="K82">
        <v>26580</v>
      </c>
      <c r="L82">
        <v>502707.74450239399</v>
      </c>
      <c r="M82">
        <v>590.66666666666595</v>
      </c>
      <c r="N82">
        <v>2657.99999999999</v>
      </c>
      <c r="O82">
        <v>240</v>
      </c>
      <c r="P82">
        <v>200</v>
      </c>
      <c r="Q82">
        <v>3688.6666666666601</v>
      </c>
      <c r="R82">
        <v>4430</v>
      </c>
      <c r="S82">
        <v>6032.4929340287299</v>
      </c>
      <c r="T82">
        <v>13290</v>
      </c>
      <c r="U82">
        <v>15081.2323350718</v>
      </c>
      <c r="V82" s="10">
        <f t="shared" si="5"/>
        <v>59707.744502393994</v>
      </c>
    </row>
    <row r="83" spans="1:22" ht="16" x14ac:dyDescent="0.2">
      <c r="A83">
        <v>96</v>
      </c>
      <c r="B83" t="s">
        <v>101</v>
      </c>
      <c r="C83">
        <v>1</v>
      </c>
      <c r="D83" t="s">
        <v>103</v>
      </c>
      <c r="E83">
        <v>5</v>
      </c>
      <c r="F83">
        <v>9</v>
      </c>
      <c r="G83">
        <v>4</v>
      </c>
      <c r="H83">
        <v>443000</v>
      </c>
      <c r="I83">
        <v>26580</v>
      </c>
      <c r="J83">
        <v>6547.7445023945402</v>
      </c>
      <c r="K83">
        <v>26580</v>
      </c>
      <c r="L83">
        <v>502707.74450239399</v>
      </c>
      <c r="M83">
        <v>590.66666666666595</v>
      </c>
      <c r="N83">
        <v>2657.99999999999</v>
      </c>
      <c r="O83">
        <v>240</v>
      </c>
      <c r="P83">
        <v>200</v>
      </c>
      <c r="Q83">
        <v>3688.6666666666601</v>
      </c>
      <c r="R83">
        <v>4430</v>
      </c>
      <c r="S83">
        <v>6032.4929340287299</v>
      </c>
      <c r="T83">
        <v>13290</v>
      </c>
      <c r="U83">
        <v>15081.2323350718</v>
      </c>
      <c r="V83" s="10">
        <f t="shared" si="5"/>
        <v>59707.744502393994</v>
      </c>
    </row>
    <row r="84" spans="1:22" ht="16" x14ac:dyDescent="0.2">
      <c r="A84">
        <v>106</v>
      </c>
      <c r="B84" t="s">
        <v>101</v>
      </c>
      <c r="C84">
        <v>1</v>
      </c>
      <c r="D84" t="s">
        <v>102</v>
      </c>
      <c r="E84">
        <v>6</v>
      </c>
      <c r="F84">
        <v>9</v>
      </c>
      <c r="G84">
        <v>3</v>
      </c>
      <c r="H84">
        <v>338000</v>
      </c>
      <c r="I84">
        <v>27040</v>
      </c>
      <c r="J84">
        <v>3330.4514135514601</v>
      </c>
      <c r="K84">
        <v>27040</v>
      </c>
      <c r="L84">
        <v>395410.451413551</v>
      </c>
      <c r="M84">
        <v>338</v>
      </c>
      <c r="N84">
        <v>1520.99999999999</v>
      </c>
      <c r="O84">
        <v>180</v>
      </c>
      <c r="P84">
        <v>150</v>
      </c>
      <c r="Q84">
        <v>2189</v>
      </c>
      <c r="R84">
        <v>3380</v>
      </c>
      <c r="S84">
        <v>4744.9254169626101</v>
      </c>
      <c r="T84">
        <v>10140</v>
      </c>
      <c r="U84">
        <v>11862.3135424065</v>
      </c>
      <c r="V84" s="10">
        <f t="shared" si="5"/>
        <v>57410.451413550996</v>
      </c>
    </row>
    <row r="85" spans="1:22" ht="16" x14ac:dyDescent="0.2">
      <c r="A85">
        <v>111</v>
      </c>
      <c r="B85" t="s">
        <v>101</v>
      </c>
      <c r="C85">
        <v>1</v>
      </c>
      <c r="D85" t="s">
        <v>102</v>
      </c>
      <c r="E85">
        <v>6</v>
      </c>
      <c r="F85">
        <v>9</v>
      </c>
      <c r="G85">
        <v>3</v>
      </c>
      <c r="H85">
        <v>338000</v>
      </c>
      <c r="I85">
        <v>27040</v>
      </c>
      <c r="J85">
        <v>3330.4514135514601</v>
      </c>
      <c r="K85">
        <v>27040</v>
      </c>
      <c r="L85">
        <v>395410.451413551</v>
      </c>
      <c r="M85">
        <v>338</v>
      </c>
      <c r="N85">
        <v>1520.99999999999</v>
      </c>
      <c r="O85">
        <v>180</v>
      </c>
      <c r="P85">
        <v>150</v>
      </c>
      <c r="Q85">
        <v>2189</v>
      </c>
      <c r="R85">
        <v>3380</v>
      </c>
      <c r="S85">
        <v>4744.9254169626101</v>
      </c>
      <c r="T85">
        <v>10140</v>
      </c>
      <c r="U85">
        <v>11862.3135424065</v>
      </c>
      <c r="V85" s="10">
        <f t="shared" si="5"/>
        <v>57410.451413550996</v>
      </c>
    </row>
    <row r="86" spans="1:22" ht="16" x14ac:dyDescent="0.2">
      <c r="A86">
        <v>115</v>
      </c>
      <c r="B86" t="s">
        <v>101</v>
      </c>
      <c r="C86">
        <v>1</v>
      </c>
      <c r="D86" t="s">
        <v>102</v>
      </c>
      <c r="E86">
        <v>6</v>
      </c>
      <c r="F86">
        <v>9</v>
      </c>
      <c r="G86">
        <v>3</v>
      </c>
      <c r="H86">
        <v>338000</v>
      </c>
      <c r="I86">
        <v>27040</v>
      </c>
      <c r="J86">
        <v>3330.4514135514601</v>
      </c>
      <c r="K86">
        <v>27040</v>
      </c>
      <c r="L86">
        <v>395410.451413551</v>
      </c>
      <c r="M86">
        <v>338</v>
      </c>
      <c r="N86">
        <v>1520.99999999999</v>
      </c>
      <c r="O86">
        <v>180</v>
      </c>
      <c r="P86">
        <v>150</v>
      </c>
      <c r="Q86">
        <v>2189</v>
      </c>
      <c r="R86">
        <v>3380</v>
      </c>
      <c r="S86">
        <v>4744.9254169626101</v>
      </c>
      <c r="T86">
        <v>10140</v>
      </c>
      <c r="U86">
        <v>11862.3135424065</v>
      </c>
      <c r="V86" s="10">
        <f t="shared" si="5"/>
        <v>57410.451413550996</v>
      </c>
    </row>
    <row r="87" spans="1:22" ht="16" x14ac:dyDescent="0.2">
      <c r="A87">
        <v>117</v>
      </c>
      <c r="B87" t="s">
        <v>101</v>
      </c>
      <c r="C87">
        <v>1</v>
      </c>
      <c r="D87" t="s">
        <v>102</v>
      </c>
      <c r="E87">
        <v>6</v>
      </c>
      <c r="F87">
        <v>9</v>
      </c>
      <c r="G87">
        <v>3</v>
      </c>
      <c r="H87">
        <v>338000</v>
      </c>
      <c r="I87">
        <v>27040</v>
      </c>
      <c r="J87">
        <v>3330.4514135514601</v>
      </c>
      <c r="K87">
        <v>27040</v>
      </c>
      <c r="L87">
        <v>395410.451413551</v>
      </c>
      <c r="M87">
        <v>338</v>
      </c>
      <c r="N87">
        <v>1520.99999999999</v>
      </c>
      <c r="O87">
        <v>180</v>
      </c>
      <c r="P87">
        <v>150</v>
      </c>
      <c r="Q87">
        <v>2189</v>
      </c>
      <c r="R87">
        <v>3380</v>
      </c>
      <c r="S87">
        <v>4744.9254169626101</v>
      </c>
      <c r="T87">
        <v>10140</v>
      </c>
      <c r="U87">
        <v>11862.3135424065</v>
      </c>
      <c r="V87" s="10">
        <f t="shared" si="5"/>
        <v>57410.451413550996</v>
      </c>
    </row>
    <row r="88" spans="1:22" ht="16" x14ac:dyDescent="0.2">
      <c r="A88">
        <v>118</v>
      </c>
      <c r="B88" t="s">
        <v>101</v>
      </c>
      <c r="C88">
        <v>1</v>
      </c>
      <c r="D88" t="s">
        <v>102</v>
      </c>
      <c r="E88">
        <v>6</v>
      </c>
      <c r="F88">
        <v>9</v>
      </c>
      <c r="G88">
        <v>3</v>
      </c>
      <c r="H88">
        <v>338000</v>
      </c>
      <c r="I88">
        <v>27040</v>
      </c>
      <c r="J88">
        <v>3330.4514135514601</v>
      </c>
      <c r="K88">
        <v>27040</v>
      </c>
      <c r="L88">
        <v>395410.451413551</v>
      </c>
      <c r="M88">
        <v>338</v>
      </c>
      <c r="N88">
        <v>1520.99999999999</v>
      </c>
      <c r="O88">
        <v>180</v>
      </c>
      <c r="P88">
        <v>150</v>
      </c>
      <c r="Q88">
        <v>2189</v>
      </c>
      <c r="R88">
        <v>3380</v>
      </c>
      <c r="S88">
        <v>4744.9254169626101</v>
      </c>
      <c r="T88">
        <v>10140</v>
      </c>
      <c r="U88">
        <v>11862.3135424065</v>
      </c>
      <c r="V88" s="10">
        <f t="shared" si="5"/>
        <v>57410.451413550996</v>
      </c>
    </row>
    <row r="89" spans="1:22" ht="16" x14ac:dyDescent="0.2">
      <c r="V89" s="11">
        <f>SUM(V62:V88)</f>
        <v>1660252.7413338325</v>
      </c>
    </row>
    <row r="90" spans="1:22" ht="16" x14ac:dyDescent="0.2">
      <c r="A90">
        <v>56</v>
      </c>
      <c r="B90" t="s">
        <v>101</v>
      </c>
      <c r="C90">
        <v>1</v>
      </c>
      <c r="D90" t="s">
        <v>103</v>
      </c>
      <c r="E90">
        <v>4</v>
      </c>
      <c r="F90">
        <v>10</v>
      </c>
      <c r="G90">
        <v>6</v>
      </c>
      <c r="H90">
        <v>443000</v>
      </c>
      <c r="I90">
        <v>26580</v>
      </c>
      <c r="J90">
        <v>9857.8198507783309</v>
      </c>
      <c r="K90">
        <v>26580</v>
      </c>
      <c r="L90">
        <v>506017.81985077797</v>
      </c>
      <c r="M90">
        <v>886</v>
      </c>
      <c r="N90">
        <v>3986.99999999999</v>
      </c>
      <c r="O90">
        <v>360</v>
      </c>
      <c r="P90">
        <v>300</v>
      </c>
      <c r="Q90">
        <v>5533</v>
      </c>
      <c r="R90">
        <v>4430</v>
      </c>
      <c r="S90">
        <v>6072.2138382093399</v>
      </c>
      <c r="T90">
        <v>13290</v>
      </c>
      <c r="U90">
        <v>15180.534595523301</v>
      </c>
      <c r="V90" s="10">
        <f t="shared" ref="V90:V119" si="6">L90-H90</f>
        <v>63017.819850777974</v>
      </c>
    </row>
    <row r="91" spans="1:22" ht="16" x14ac:dyDescent="0.2">
      <c r="A91">
        <v>58</v>
      </c>
      <c r="B91" t="s">
        <v>101</v>
      </c>
      <c r="C91">
        <v>1</v>
      </c>
      <c r="D91" t="s">
        <v>103</v>
      </c>
      <c r="E91">
        <v>4</v>
      </c>
      <c r="F91">
        <v>10</v>
      </c>
      <c r="G91">
        <v>6</v>
      </c>
      <c r="H91">
        <v>443000</v>
      </c>
      <c r="I91">
        <v>26580</v>
      </c>
      <c r="J91">
        <v>9857.8198507783309</v>
      </c>
      <c r="K91">
        <v>26580</v>
      </c>
      <c r="L91">
        <v>506017.81985077797</v>
      </c>
      <c r="M91">
        <v>886</v>
      </c>
      <c r="N91">
        <v>3986.99999999999</v>
      </c>
      <c r="O91">
        <v>360</v>
      </c>
      <c r="P91">
        <v>300</v>
      </c>
      <c r="Q91">
        <v>5533</v>
      </c>
      <c r="R91">
        <v>4430</v>
      </c>
      <c r="S91">
        <v>6072.2138382093399</v>
      </c>
      <c r="T91">
        <v>13290</v>
      </c>
      <c r="U91">
        <v>15180.534595523301</v>
      </c>
      <c r="V91" s="10">
        <f t="shared" si="6"/>
        <v>63017.819850777974</v>
      </c>
    </row>
    <row r="92" spans="1:22" ht="16" x14ac:dyDescent="0.2">
      <c r="A92">
        <v>62</v>
      </c>
      <c r="B92" t="s">
        <v>101</v>
      </c>
      <c r="C92">
        <v>1</v>
      </c>
      <c r="D92" t="s">
        <v>103</v>
      </c>
      <c r="E92">
        <v>4</v>
      </c>
      <c r="F92">
        <v>10</v>
      </c>
      <c r="G92">
        <v>6</v>
      </c>
      <c r="H92">
        <v>443000</v>
      </c>
      <c r="I92">
        <v>26580</v>
      </c>
      <c r="J92">
        <v>9857.8198507783309</v>
      </c>
      <c r="K92">
        <v>26580</v>
      </c>
      <c r="L92">
        <v>506017.81985077797</v>
      </c>
      <c r="M92">
        <v>886</v>
      </c>
      <c r="N92">
        <v>3986.99999999999</v>
      </c>
      <c r="O92">
        <v>360</v>
      </c>
      <c r="P92">
        <v>300</v>
      </c>
      <c r="Q92">
        <v>5533</v>
      </c>
      <c r="R92">
        <v>4430</v>
      </c>
      <c r="S92">
        <v>6072.2138382093399</v>
      </c>
      <c r="T92">
        <v>13290</v>
      </c>
      <c r="U92">
        <v>15180.534595523301</v>
      </c>
      <c r="V92" s="10">
        <f t="shared" si="6"/>
        <v>63017.819850777974</v>
      </c>
    </row>
    <row r="93" spans="1:22" ht="16" x14ac:dyDescent="0.2">
      <c r="A93">
        <v>64</v>
      </c>
      <c r="B93" t="s">
        <v>101</v>
      </c>
      <c r="C93">
        <v>1</v>
      </c>
      <c r="D93" t="s">
        <v>103</v>
      </c>
      <c r="E93">
        <v>4</v>
      </c>
      <c r="F93">
        <v>10</v>
      </c>
      <c r="G93">
        <v>6</v>
      </c>
      <c r="H93">
        <v>443000</v>
      </c>
      <c r="I93">
        <v>26580</v>
      </c>
      <c r="J93">
        <v>9857.8198507783309</v>
      </c>
      <c r="K93">
        <v>26580</v>
      </c>
      <c r="L93">
        <v>506017.81985077797</v>
      </c>
      <c r="M93">
        <v>886</v>
      </c>
      <c r="N93">
        <v>3986.99999999999</v>
      </c>
      <c r="O93">
        <v>360</v>
      </c>
      <c r="P93">
        <v>300</v>
      </c>
      <c r="Q93">
        <v>5533</v>
      </c>
      <c r="R93">
        <v>4430</v>
      </c>
      <c r="S93">
        <v>6072.2138382093399</v>
      </c>
      <c r="T93">
        <v>13290</v>
      </c>
      <c r="U93">
        <v>15180.534595523301</v>
      </c>
      <c r="V93" s="10">
        <f t="shared" si="6"/>
        <v>63017.819850777974</v>
      </c>
    </row>
    <row r="94" spans="1:22" ht="16" x14ac:dyDescent="0.2">
      <c r="A94">
        <v>74</v>
      </c>
      <c r="B94" t="s">
        <v>101</v>
      </c>
      <c r="C94">
        <v>1</v>
      </c>
      <c r="D94" t="s">
        <v>102</v>
      </c>
      <c r="E94">
        <v>5</v>
      </c>
      <c r="F94">
        <v>10</v>
      </c>
      <c r="G94">
        <v>5</v>
      </c>
      <c r="H94">
        <v>338000</v>
      </c>
      <c r="I94">
        <v>27040</v>
      </c>
      <c r="J94">
        <v>5568.9637343662098</v>
      </c>
      <c r="K94">
        <v>27040</v>
      </c>
      <c r="L94">
        <v>397648.963734366</v>
      </c>
      <c r="M94">
        <v>563.33333333333303</v>
      </c>
      <c r="N94">
        <v>2534.99999999999</v>
      </c>
      <c r="O94">
        <v>300</v>
      </c>
      <c r="P94">
        <v>250</v>
      </c>
      <c r="Q94">
        <v>3648.3333333333298</v>
      </c>
      <c r="R94">
        <v>3380</v>
      </c>
      <c r="S94">
        <v>4771.78756481239</v>
      </c>
      <c r="T94">
        <v>10140</v>
      </c>
      <c r="U94">
        <v>11929.468912030899</v>
      </c>
      <c r="V94" s="10">
        <f t="shared" si="6"/>
        <v>59648.963734366</v>
      </c>
    </row>
    <row r="95" spans="1:22" ht="16" x14ac:dyDescent="0.2">
      <c r="A95">
        <v>76</v>
      </c>
      <c r="B95" t="s">
        <v>101</v>
      </c>
      <c r="C95">
        <v>1</v>
      </c>
      <c r="D95" t="s">
        <v>102</v>
      </c>
      <c r="E95">
        <v>5</v>
      </c>
      <c r="F95">
        <v>10</v>
      </c>
      <c r="G95">
        <v>5</v>
      </c>
      <c r="H95">
        <v>338000</v>
      </c>
      <c r="I95">
        <v>27040</v>
      </c>
      <c r="J95">
        <v>5568.9637343662098</v>
      </c>
      <c r="K95">
        <v>27040</v>
      </c>
      <c r="L95">
        <v>397648.963734366</v>
      </c>
      <c r="M95">
        <v>563.33333333333303</v>
      </c>
      <c r="N95">
        <v>2534.99999999999</v>
      </c>
      <c r="O95">
        <v>300</v>
      </c>
      <c r="P95">
        <v>250</v>
      </c>
      <c r="Q95">
        <v>3648.3333333333298</v>
      </c>
      <c r="R95">
        <v>3380</v>
      </c>
      <c r="S95">
        <v>4771.78756481239</v>
      </c>
      <c r="T95">
        <v>10140</v>
      </c>
      <c r="U95">
        <v>11929.468912030899</v>
      </c>
      <c r="V95" s="10">
        <f t="shared" si="6"/>
        <v>59648.963734366</v>
      </c>
    </row>
    <row r="96" spans="1:22" ht="16" x14ac:dyDescent="0.2">
      <c r="A96">
        <v>77</v>
      </c>
      <c r="B96" t="s">
        <v>101</v>
      </c>
      <c r="C96">
        <v>1</v>
      </c>
      <c r="D96" t="s">
        <v>102</v>
      </c>
      <c r="E96">
        <v>5</v>
      </c>
      <c r="F96">
        <v>10</v>
      </c>
      <c r="G96">
        <v>5</v>
      </c>
      <c r="H96">
        <v>338000</v>
      </c>
      <c r="I96">
        <v>27040</v>
      </c>
      <c r="J96">
        <v>5568.9637343662098</v>
      </c>
      <c r="K96">
        <v>27040</v>
      </c>
      <c r="L96">
        <v>397648.963734366</v>
      </c>
      <c r="M96">
        <v>563.33333333333303</v>
      </c>
      <c r="N96">
        <v>2534.99999999999</v>
      </c>
      <c r="O96">
        <v>300</v>
      </c>
      <c r="P96">
        <v>250</v>
      </c>
      <c r="Q96">
        <v>3648.3333333333298</v>
      </c>
      <c r="R96">
        <v>3380</v>
      </c>
      <c r="S96">
        <v>4771.78756481239</v>
      </c>
      <c r="T96">
        <v>10140</v>
      </c>
      <c r="U96">
        <v>11929.468912030899</v>
      </c>
      <c r="V96" s="10">
        <f t="shared" si="6"/>
        <v>59648.963734366</v>
      </c>
    </row>
    <row r="97" spans="1:22" ht="16" x14ac:dyDescent="0.2">
      <c r="A97">
        <v>83</v>
      </c>
      <c r="B97" t="s">
        <v>101</v>
      </c>
      <c r="C97">
        <v>1</v>
      </c>
      <c r="D97" t="s">
        <v>103</v>
      </c>
      <c r="E97">
        <v>5</v>
      </c>
      <c r="F97">
        <v>10</v>
      </c>
      <c r="G97">
        <v>5</v>
      </c>
      <c r="H97">
        <v>443000</v>
      </c>
      <c r="I97">
        <v>26580</v>
      </c>
      <c r="J97">
        <v>8199.7467798370599</v>
      </c>
      <c r="K97">
        <v>26580</v>
      </c>
      <c r="L97">
        <v>504359.74677983701</v>
      </c>
      <c r="M97">
        <v>738.33333333333303</v>
      </c>
      <c r="N97">
        <v>3322.49999999999</v>
      </c>
      <c r="O97">
        <v>300</v>
      </c>
      <c r="P97">
        <v>250</v>
      </c>
      <c r="Q97">
        <v>4610.8333333333303</v>
      </c>
      <c r="R97">
        <v>4430</v>
      </c>
      <c r="S97">
        <v>6052.3169613580403</v>
      </c>
      <c r="T97">
        <v>13290</v>
      </c>
      <c r="U97">
        <v>15130.7924033951</v>
      </c>
      <c r="V97" s="10">
        <f t="shared" si="6"/>
        <v>61359.746779837005</v>
      </c>
    </row>
    <row r="98" spans="1:22" ht="16" x14ac:dyDescent="0.2">
      <c r="A98">
        <v>84</v>
      </c>
      <c r="B98" t="s">
        <v>101</v>
      </c>
      <c r="C98">
        <v>1</v>
      </c>
      <c r="D98" t="s">
        <v>103</v>
      </c>
      <c r="E98">
        <v>5</v>
      </c>
      <c r="F98">
        <v>10</v>
      </c>
      <c r="G98">
        <v>5</v>
      </c>
      <c r="H98">
        <v>443000</v>
      </c>
      <c r="I98">
        <v>26580</v>
      </c>
      <c r="J98">
        <v>8199.7467798370599</v>
      </c>
      <c r="K98">
        <v>26580</v>
      </c>
      <c r="L98">
        <v>504359.74677983701</v>
      </c>
      <c r="M98">
        <v>738.33333333333303</v>
      </c>
      <c r="N98">
        <v>3322.49999999999</v>
      </c>
      <c r="O98">
        <v>300</v>
      </c>
      <c r="P98">
        <v>250</v>
      </c>
      <c r="Q98">
        <v>4610.8333333333303</v>
      </c>
      <c r="R98">
        <v>4430</v>
      </c>
      <c r="S98">
        <v>6052.3169613580403</v>
      </c>
      <c r="T98">
        <v>13290</v>
      </c>
      <c r="U98">
        <v>15130.7924033951</v>
      </c>
      <c r="V98" s="10">
        <f t="shared" si="6"/>
        <v>61359.746779837005</v>
      </c>
    </row>
    <row r="99" spans="1:22" ht="16" x14ac:dyDescent="0.2">
      <c r="A99">
        <v>87</v>
      </c>
      <c r="B99" t="s">
        <v>101</v>
      </c>
      <c r="C99">
        <v>1</v>
      </c>
      <c r="D99" t="s">
        <v>103</v>
      </c>
      <c r="E99">
        <v>5</v>
      </c>
      <c r="F99">
        <v>10</v>
      </c>
      <c r="G99">
        <v>5</v>
      </c>
      <c r="H99">
        <v>443000</v>
      </c>
      <c r="I99">
        <v>26580</v>
      </c>
      <c r="J99">
        <v>8199.7467798370599</v>
      </c>
      <c r="K99">
        <v>26580</v>
      </c>
      <c r="L99">
        <v>504359.74677983701</v>
      </c>
      <c r="M99">
        <v>738.33333333333303</v>
      </c>
      <c r="N99">
        <v>3322.49999999999</v>
      </c>
      <c r="O99">
        <v>300</v>
      </c>
      <c r="P99">
        <v>250</v>
      </c>
      <c r="Q99">
        <v>4610.8333333333303</v>
      </c>
      <c r="R99">
        <v>4430</v>
      </c>
      <c r="S99">
        <v>6052.3169613580403</v>
      </c>
      <c r="T99">
        <v>13290</v>
      </c>
      <c r="U99">
        <v>15130.7924033951</v>
      </c>
      <c r="V99" s="10">
        <f t="shared" si="6"/>
        <v>61359.746779837005</v>
      </c>
    </row>
    <row r="100" spans="1:22" ht="16" x14ac:dyDescent="0.2">
      <c r="A100">
        <v>93</v>
      </c>
      <c r="B100" t="s">
        <v>101</v>
      </c>
      <c r="C100">
        <v>1</v>
      </c>
      <c r="D100" t="s">
        <v>103</v>
      </c>
      <c r="E100">
        <v>5</v>
      </c>
      <c r="F100">
        <v>10</v>
      </c>
      <c r="G100">
        <v>5</v>
      </c>
      <c r="H100">
        <v>443000</v>
      </c>
      <c r="I100">
        <v>26580</v>
      </c>
      <c r="J100">
        <v>8199.7467798370599</v>
      </c>
      <c r="K100">
        <v>26580</v>
      </c>
      <c r="L100">
        <v>504359.74677983701</v>
      </c>
      <c r="M100">
        <v>738.33333333333303</v>
      </c>
      <c r="N100">
        <v>3322.49999999999</v>
      </c>
      <c r="O100">
        <v>300</v>
      </c>
      <c r="P100">
        <v>250</v>
      </c>
      <c r="Q100">
        <v>4610.8333333333303</v>
      </c>
      <c r="R100">
        <v>4430</v>
      </c>
      <c r="S100">
        <v>6052.3169613580403</v>
      </c>
      <c r="T100">
        <v>13290</v>
      </c>
      <c r="U100">
        <v>15130.7924033951</v>
      </c>
      <c r="V100" s="10">
        <f t="shared" si="6"/>
        <v>61359.746779837005</v>
      </c>
    </row>
    <row r="101" spans="1:22" ht="16" x14ac:dyDescent="0.2">
      <c r="A101">
        <v>97</v>
      </c>
      <c r="B101" t="s">
        <v>101</v>
      </c>
      <c r="C101">
        <v>1</v>
      </c>
      <c r="D101" t="s">
        <v>103</v>
      </c>
      <c r="E101">
        <v>5</v>
      </c>
      <c r="F101">
        <v>10</v>
      </c>
      <c r="G101">
        <v>5</v>
      </c>
      <c r="H101">
        <v>443000</v>
      </c>
      <c r="I101">
        <v>26580</v>
      </c>
      <c r="J101">
        <v>8199.7467798370599</v>
      </c>
      <c r="K101">
        <v>26580</v>
      </c>
      <c r="L101">
        <v>504359.74677983701</v>
      </c>
      <c r="M101">
        <v>738.33333333333303</v>
      </c>
      <c r="N101">
        <v>3322.49999999999</v>
      </c>
      <c r="O101">
        <v>300</v>
      </c>
      <c r="P101">
        <v>250</v>
      </c>
      <c r="Q101">
        <v>4610.8333333333303</v>
      </c>
      <c r="R101">
        <v>4430</v>
      </c>
      <c r="S101">
        <v>6052.3169613580403</v>
      </c>
      <c r="T101">
        <v>13290</v>
      </c>
      <c r="U101">
        <v>15130.7924033951</v>
      </c>
      <c r="V101" s="10">
        <f t="shared" si="6"/>
        <v>61359.746779837005</v>
      </c>
    </row>
    <row r="102" spans="1:22" ht="16" x14ac:dyDescent="0.2">
      <c r="A102">
        <v>98</v>
      </c>
      <c r="B102" t="s">
        <v>101</v>
      </c>
      <c r="C102">
        <v>1</v>
      </c>
      <c r="D102" t="s">
        <v>103</v>
      </c>
      <c r="E102">
        <v>5</v>
      </c>
      <c r="F102">
        <v>10</v>
      </c>
      <c r="G102">
        <v>5</v>
      </c>
      <c r="H102">
        <v>443000</v>
      </c>
      <c r="I102">
        <v>26580</v>
      </c>
      <c r="J102">
        <v>8199.7467798370599</v>
      </c>
      <c r="K102">
        <v>26580</v>
      </c>
      <c r="L102">
        <v>504359.74677983701</v>
      </c>
      <c r="M102">
        <v>738.33333333333303</v>
      </c>
      <c r="N102">
        <v>3322.49999999999</v>
      </c>
      <c r="O102">
        <v>300</v>
      </c>
      <c r="P102">
        <v>250</v>
      </c>
      <c r="Q102">
        <v>4610.8333333333303</v>
      </c>
      <c r="R102">
        <v>4430</v>
      </c>
      <c r="S102">
        <v>6052.3169613580403</v>
      </c>
      <c r="T102">
        <v>13290</v>
      </c>
      <c r="U102">
        <v>15130.7924033951</v>
      </c>
      <c r="V102" s="10">
        <f t="shared" si="6"/>
        <v>61359.746779837005</v>
      </c>
    </row>
    <row r="103" spans="1:22" ht="16" x14ac:dyDescent="0.2">
      <c r="A103">
        <v>100</v>
      </c>
      <c r="B103" t="s">
        <v>101</v>
      </c>
      <c r="C103">
        <v>1</v>
      </c>
      <c r="D103" t="s">
        <v>103</v>
      </c>
      <c r="E103">
        <v>5</v>
      </c>
      <c r="F103">
        <v>10</v>
      </c>
      <c r="G103">
        <v>5</v>
      </c>
      <c r="H103">
        <v>443000</v>
      </c>
      <c r="I103">
        <v>26580</v>
      </c>
      <c r="J103">
        <v>8199.7467798370599</v>
      </c>
      <c r="K103">
        <v>26580</v>
      </c>
      <c r="L103">
        <v>504359.74677983701</v>
      </c>
      <c r="M103">
        <v>738.33333333333303</v>
      </c>
      <c r="N103">
        <v>3322.49999999999</v>
      </c>
      <c r="O103">
        <v>300</v>
      </c>
      <c r="P103">
        <v>250</v>
      </c>
      <c r="Q103">
        <v>4610.8333333333303</v>
      </c>
      <c r="R103">
        <v>4430</v>
      </c>
      <c r="S103">
        <v>6052.3169613580403</v>
      </c>
      <c r="T103">
        <v>13290</v>
      </c>
      <c r="U103">
        <v>15130.7924033951</v>
      </c>
      <c r="V103" s="10">
        <f t="shared" si="6"/>
        <v>61359.746779837005</v>
      </c>
    </row>
    <row r="104" spans="1:22" ht="16" x14ac:dyDescent="0.2">
      <c r="A104">
        <v>102</v>
      </c>
      <c r="B104" t="s">
        <v>101</v>
      </c>
      <c r="C104">
        <v>1</v>
      </c>
      <c r="D104" t="s">
        <v>104</v>
      </c>
      <c r="E104">
        <v>5</v>
      </c>
      <c r="F104">
        <v>10</v>
      </c>
      <c r="G104">
        <v>5</v>
      </c>
      <c r="H104">
        <v>676000</v>
      </c>
      <c r="I104">
        <v>33800</v>
      </c>
      <c r="J104">
        <v>13883.202216778</v>
      </c>
      <c r="K104">
        <v>33800</v>
      </c>
      <c r="L104">
        <v>757483.20221677795</v>
      </c>
      <c r="M104">
        <v>1126.6666666666599</v>
      </c>
      <c r="N104">
        <v>5069.99999999999</v>
      </c>
      <c r="O104">
        <v>300</v>
      </c>
      <c r="P104">
        <v>250</v>
      </c>
      <c r="Q104">
        <v>6746.6666666666597</v>
      </c>
      <c r="R104">
        <v>6760</v>
      </c>
      <c r="S104">
        <v>9089.79842660133</v>
      </c>
      <c r="T104">
        <v>20280</v>
      </c>
      <c r="U104">
        <v>22724.4960665033</v>
      </c>
      <c r="V104" s="10">
        <f t="shared" si="6"/>
        <v>81483.202216777951</v>
      </c>
    </row>
    <row r="105" spans="1:22" ht="16" x14ac:dyDescent="0.2">
      <c r="A105">
        <v>103</v>
      </c>
      <c r="B105" t="s">
        <v>101</v>
      </c>
      <c r="C105">
        <v>1</v>
      </c>
      <c r="D105" t="s">
        <v>104</v>
      </c>
      <c r="E105">
        <v>5</v>
      </c>
      <c r="F105">
        <v>10</v>
      </c>
      <c r="G105">
        <v>5</v>
      </c>
      <c r="H105">
        <v>676000</v>
      </c>
      <c r="I105">
        <v>33800</v>
      </c>
      <c r="J105">
        <v>13883.202216778</v>
      </c>
      <c r="K105">
        <v>33800</v>
      </c>
      <c r="L105">
        <v>757483.20221677795</v>
      </c>
      <c r="M105">
        <v>1126.6666666666599</v>
      </c>
      <c r="N105">
        <v>5069.99999999999</v>
      </c>
      <c r="O105">
        <v>300</v>
      </c>
      <c r="P105">
        <v>250</v>
      </c>
      <c r="Q105">
        <v>6746.6666666666597</v>
      </c>
      <c r="R105">
        <v>6760</v>
      </c>
      <c r="S105">
        <v>9089.79842660133</v>
      </c>
      <c r="T105">
        <v>20280</v>
      </c>
      <c r="U105">
        <v>22724.4960665033</v>
      </c>
      <c r="V105" s="10">
        <f t="shared" si="6"/>
        <v>81483.202216777951</v>
      </c>
    </row>
    <row r="106" spans="1:22" ht="16" x14ac:dyDescent="0.2">
      <c r="A106">
        <v>104</v>
      </c>
      <c r="B106" t="s">
        <v>101</v>
      </c>
      <c r="C106">
        <v>1</v>
      </c>
      <c r="D106" t="s">
        <v>104</v>
      </c>
      <c r="E106">
        <v>5</v>
      </c>
      <c r="F106">
        <v>10</v>
      </c>
      <c r="G106">
        <v>5</v>
      </c>
      <c r="H106">
        <v>676000</v>
      </c>
      <c r="I106">
        <v>33800</v>
      </c>
      <c r="J106">
        <v>13883.202216778</v>
      </c>
      <c r="K106">
        <v>33800</v>
      </c>
      <c r="L106">
        <v>757483.20221677795</v>
      </c>
      <c r="M106">
        <v>1126.6666666666599</v>
      </c>
      <c r="N106">
        <v>5069.99999999999</v>
      </c>
      <c r="O106">
        <v>300</v>
      </c>
      <c r="P106">
        <v>250</v>
      </c>
      <c r="Q106">
        <v>6746.6666666666597</v>
      </c>
      <c r="R106">
        <v>6760</v>
      </c>
      <c r="S106">
        <v>9089.79842660133</v>
      </c>
      <c r="T106">
        <v>20280</v>
      </c>
      <c r="U106">
        <v>22724.4960665033</v>
      </c>
      <c r="V106" s="10">
        <f t="shared" si="6"/>
        <v>81483.202216777951</v>
      </c>
    </row>
    <row r="107" spans="1:22" ht="16" x14ac:dyDescent="0.2">
      <c r="A107">
        <v>107</v>
      </c>
      <c r="B107" t="s">
        <v>101</v>
      </c>
      <c r="C107">
        <v>1</v>
      </c>
      <c r="D107" t="s">
        <v>102</v>
      </c>
      <c r="E107">
        <v>6</v>
      </c>
      <c r="F107">
        <v>10</v>
      </c>
      <c r="G107">
        <v>4</v>
      </c>
      <c r="H107">
        <v>338000</v>
      </c>
      <c r="I107">
        <v>27040</v>
      </c>
      <c r="J107">
        <v>4447.8784912198998</v>
      </c>
      <c r="K107">
        <v>27040</v>
      </c>
      <c r="L107">
        <v>396527.87849121902</v>
      </c>
      <c r="M107">
        <v>450.666666666666</v>
      </c>
      <c r="N107">
        <v>2027.99999999999</v>
      </c>
      <c r="O107">
        <v>240</v>
      </c>
      <c r="P107">
        <v>200</v>
      </c>
      <c r="Q107">
        <v>2918.6666666666601</v>
      </c>
      <c r="R107">
        <v>3380</v>
      </c>
      <c r="S107">
        <v>4758.3345418946301</v>
      </c>
      <c r="T107">
        <v>10140</v>
      </c>
      <c r="U107">
        <v>11895.836354736501</v>
      </c>
      <c r="V107" s="10">
        <f t="shared" si="6"/>
        <v>58527.878491219017</v>
      </c>
    </row>
    <row r="108" spans="1:22" ht="16" x14ac:dyDescent="0.2">
      <c r="A108">
        <v>108</v>
      </c>
      <c r="B108" t="s">
        <v>101</v>
      </c>
      <c r="C108">
        <v>1</v>
      </c>
      <c r="D108" t="s">
        <v>102</v>
      </c>
      <c r="E108">
        <v>6</v>
      </c>
      <c r="F108">
        <v>10</v>
      </c>
      <c r="G108">
        <v>4</v>
      </c>
      <c r="H108">
        <v>338000</v>
      </c>
      <c r="I108">
        <v>27040</v>
      </c>
      <c r="J108">
        <v>4447.8784912198998</v>
      </c>
      <c r="K108">
        <v>27040</v>
      </c>
      <c r="L108">
        <v>396527.87849121902</v>
      </c>
      <c r="M108">
        <v>450.666666666666</v>
      </c>
      <c r="N108">
        <v>2027.99999999999</v>
      </c>
      <c r="O108">
        <v>240</v>
      </c>
      <c r="P108">
        <v>200</v>
      </c>
      <c r="Q108">
        <v>2918.6666666666601</v>
      </c>
      <c r="R108">
        <v>3380</v>
      </c>
      <c r="S108">
        <v>4758.3345418946301</v>
      </c>
      <c r="T108">
        <v>10140</v>
      </c>
      <c r="U108">
        <v>11895.836354736501</v>
      </c>
      <c r="V108" s="10">
        <f t="shared" si="6"/>
        <v>58527.878491219017</v>
      </c>
    </row>
    <row r="109" spans="1:22" ht="16" x14ac:dyDescent="0.2">
      <c r="A109">
        <v>109</v>
      </c>
      <c r="B109" t="s">
        <v>101</v>
      </c>
      <c r="C109">
        <v>1</v>
      </c>
      <c r="D109" t="s">
        <v>102</v>
      </c>
      <c r="E109">
        <v>6</v>
      </c>
      <c r="F109">
        <v>10</v>
      </c>
      <c r="G109">
        <v>4</v>
      </c>
      <c r="H109">
        <v>338000</v>
      </c>
      <c r="I109">
        <v>27040</v>
      </c>
      <c r="J109">
        <v>4447.8784912198998</v>
      </c>
      <c r="K109">
        <v>27040</v>
      </c>
      <c r="L109">
        <v>396527.87849121902</v>
      </c>
      <c r="M109">
        <v>450.666666666666</v>
      </c>
      <c r="N109">
        <v>2027.99999999999</v>
      </c>
      <c r="O109">
        <v>240</v>
      </c>
      <c r="P109">
        <v>200</v>
      </c>
      <c r="Q109">
        <v>2918.6666666666601</v>
      </c>
      <c r="R109">
        <v>3380</v>
      </c>
      <c r="S109">
        <v>4758.3345418946301</v>
      </c>
      <c r="T109">
        <v>10140</v>
      </c>
      <c r="U109">
        <v>11895.836354736501</v>
      </c>
      <c r="V109" s="10">
        <f t="shared" si="6"/>
        <v>58527.878491219017</v>
      </c>
    </row>
    <row r="110" spans="1:22" ht="16" x14ac:dyDescent="0.2">
      <c r="A110">
        <v>110</v>
      </c>
      <c r="B110" t="s">
        <v>101</v>
      </c>
      <c r="C110">
        <v>1</v>
      </c>
      <c r="D110" t="s">
        <v>102</v>
      </c>
      <c r="E110">
        <v>6</v>
      </c>
      <c r="F110">
        <v>10</v>
      </c>
      <c r="G110">
        <v>4</v>
      </c>
      <c r="H110">
        <v>338000</v>
      </c>
      <c r="I110">
        <v>27040</v>
      </c>
      <c r="J110">
        <v>4447.8784912198998</v>
      </c>
      <c r="K110">
        <v>27040</v>
      </c>
      <c r="L110">
        <v>396527.87849121902</v>
      </c>
      <c r="M110">
        <v>450.666666666666</v>
      </c>
      <c r="N110">
        <v>2027.99999999999</v>
      </c>
      <c r="O110">
        <v>240</v>
      </c>
      <c r="P110">
        <v>200</v>
      </c>
      <c r="Q110">
        <v>2918.6666666666601</v>
      </c>
      <c r="R110">
        <v>3380</v>
      </c>
      <c r="S110">
        <v>4758.3345418946301</v>
      </c>
      <c r="T110">
        <v>10140</v>
      </c>
      <c r="U110">
        <v>11895.836354736501</v>
      </c>
      <c r="V110" s="10">
        <f t="shared" si="6"/>
        <v>58527.878491219017</v>
      </c>
    </row>
    <row r="111" spans="1:22" ht="16" x14ac:dyDescent="0.2">
      <c r="A111">
        <v>112</v>
      </c>
      <c r="B111" t="s">
        <v>101</v>
      </c>
      <c r="C111">
        <v>1</v>
      </c>
      <c r="D111" t="s">
        <v>102</v>
      </c>
      <c r="E111">
        <v>6</v>
      </c>
      <c r="F111">
        <v>10</v>
      </c>
      <c r="G111">
        <v>4</v>
      </c>
      <c r="H111">
        <v>338000</v>
      </c>
      <c r="I111">
        <v>27040</v>
      </c>
      <c r="J111">
        <v>4447.8784912198998</v>
      </c>
      <c r="K111">
        <v>27040</v>
      </c>
      <c r="L111">
        <v>396527.87849121902</v>
      </c>
      <c r="M111">
        <v>450.666666666666</v>
      </c>
      <c r="N111">
        <v>2027.99999999999</v>
      </c>
      <c r="O111">
        <v>240</v>
      </c>
      <c r="P111">
        <v>200</v>
      </c>
      <c r="Q111">
        <v>2918.6666666666601</v>
      </c>
      <c r="R111">
        <v>3380</v>
      </c>
      <c r="S111">
        <v>4758.3345418946301</v>
      </c>
      <c r="T111">
        <v>10140</v>
      </c>
      <c r="U111">
        <v>11895.836354736501</v>
      </c>
      <c r="V111" s="10">
        <f t="shared" si="6"/>
        <v>58527.878491219017</v>
      </c>
    </row>
    <row r="112" spans="1:22" ht="16" x14ac:dyDescent="0.2">
      <c r="A112">
        <v>113</v>
      </c>
      <c r="B112" t="s">
        <v>101</v>
      </c>
      <c r="C112">
        <v>1</v>
      </c>
      <c r="D112" t="s">
        <v>102</v>
      </c>
      <c r="E112">
        <v>6</v>
      </c>
      <c r="F112">
        <v>10</v>
      </c>
      <c r="G112">
        <v>4</v>
      </c>
      <c r="H112">
        <v>338000</v>
      </c>
      <c r="I112">
        <v>27040</v>
      </c>
      <c r="J112">
        <v>4447.8784912198998</v>
      </c>
      <c r="K112">
        <v>27040</v>
      </c>
      <c r="L112">
        <v>396527.87849121902</v>
      </c>
      <c r="M112">
        <v>450.666666666666</v>
      </c>
      <c r="N112">
        <v>2027.99999999999</v>
      </c>
      <c r="O112">
        <v>240</v>
      </c>
      <c r="P112">
        <v>200</v>
      </c>
      <c r="Q112">
        <v>2918.6666666666601</v>
      </c>
      <c r="R112">
        <v>3380</v>
      </c>
      <c r="S112">
        <v>4758.3345418946301</v>
      </c>
      <c r="T112">
        <v>10140</v>
      </c>
      <c r="U112">
        <v>11895.836354736501</v>
      </c>
      <c r="V112" s="10">
        <f t="shared" si="6"/>
        <v>58527.878491219017</v>
      </c>
    </row>
    <row r="113" spans="1:22" ht="16" x14ac:dyDescent="0.2">
      <c r="A113">
        <v>116</v>
      </c>
      <c r="B113" t="s">
        <v>101</v>
      </c>
      <c r="C113">
        <v>1</v>
      </c>
      <c r="D113" t="s">
        <v>102</v>
      </c>
      <c r="E113">
        <v>6</v>
      </c>
      <c r="F113">
        <v>10</v>
      </c>
      <c r="G113">
        <v>4</v>
      </c>
      <c r="H113">
        <v>338000</v>
      </c>
      <c r="I113">
        <v>27040</v>
      </c>
      <c r="J113">
        <v>4447.8784912198998</v>
      </c>
      <c r="K113">
        <v>27040</v>
      </c>
      <c r="L113">
        <v>396527.87849121902</v>
      </c>
      <c r="M113">
        <v>450.666666666666</v>
      </c>
      <c r="N113">
        <v>2027.99999999999</v>
      </c>
      <c r="O113">
        <v>240</v>
      </c>
      <c r="P113">
        <v>200</v>
      </c>
      <c r="Q113">
        <v>2918.6666666666601</v>
      </c>
      <c r="R113">
        <v>3380</v>
      </c>
      <c r="S113">
        <v>4758.3345418946301</v>
      </c>
      <c r="T113">
        <v>10140</v>
      </c>
      <c r="U113">
        <v>11895.836354736501</v>
      </c>
      <c r="V113" s="10">
        <f t="shared" si="6"/>
        <v>58527.878491219017</v>
      </c>
    </row>
    <row r="114" spans="1:22" ht="16" x14ac:dyDescent="0.2">
      <c r="A114">
        <v>119</v>
      </c>
      <c r="B114" t="s">
        <v>101</v>
      </c>
      <c r="C114">
        <v>1</v>
      </c>
      <c r="D114" t="s">
        <v>102</v>
      </c>
      <c r="E114">
        <v>6</v>
      </c>
      <c r="F114">
        <v>10</v>
      </c>
      <c r="G114">
        <v>4</v>
      </c>
      <c r="H114">
        <v>338000</v>
      </c>
      <c r="I114">
        <v>27040</v>
      </c>
      <c r="J114">
        <v>4447.8784912198998</v>
      </c>
      <c r="K114">
        <v>27040</v>
      </c>
      <c r="L114">
        <v>396527.87849121902</v>
      </c>
      <c r="M114">
        <v>450.666666666666</v>
      </c>
      <c r="N114">
        <v>2027.99999999999</v>
      </c>
      <c r="O114">
        <v>240</v>
      </c>
      <c r="P114">
        <v>200</v>
      </c>
      <c r="Q114">
        <v>2918.6666666666601</v>
      </c>
      <c r="R114">
        <v>3380</v>
      </c>
      <c r="S114">
        <v>4758.3345418946301</v>
      </c>
      <c r="T114">
        <v>10140</v>
      </c>
      <c r="U114">
        <v>11895.836354736501</v>
      </c>
      <c r="V114" s="10">
        <f t="shared" si="6"/>
        <v>58527.878491219017</v>
      </c>
    </row>
    <row r="115" spans="1:22" ht="16" x14ac:dyDescent="0.2">
      <c r="A115">
        <v>132</v>
      </c>
      <c r="B115" t="s">
        <v>101</v>
      </c>
      <c r="C115">
        <v>1</v>
      </c>
      <c r="D115" t="s">
        <v>103</v>
      </c>
      <c r="E115">
        <v>6</v>
      </c>
      <c r="F115">
        <v>10</v>
      </c>
      <c r="G115">
        <v>4</v>
      </c>
      <c r="H115">
        <v>443000</v>
      </c>
      <c r="I115">
        <v>26580</v>
      </c>
      <c r="J115">
        <v>6547.7445023945402</v>
      </c>
      <c r="K115">
        <v>26580</v>
      </c>
      <c r="L115">
        <v>502707.74450239399</v>
      </c>
      <c r="M115">
        <v>590.66666666666595</v>
      </c>
      <c r="N115">
        <v>2657.99999999999</v>
      </c>
      <c r="O115">
        <v>240</v>
      </c>
      <c r="P115">
        <v>200</v>
      </c>
      <c r="Q115">
        <v>3688.6666666666601</v>
      </c>
      <c r="R115">
        <v>4430</v>
      </c>
      <c r="S115">
        <v>6032.4929340287299</v>
      </c>
      <c r="T115">
        <v>13290</v>
      </c>
      <c r="U115">
        <v>15081.2323350718</v>
      </c>
      <c r="V115" s="10">
        <f t="shared" si="6"/>
        <v>59707.744502393994</v>
      </c>
    </row>
    <row r="116" spans="1:22" ht="16" x14ac:dyDescent="0.2">
      <c r="A116">
        <v>150</v>
      </c>
      <c r="B116" t="s">
        <v>101</v>
      </c>
      <c r="C116">
        <v>1</v>
      </c>
      <c r="D116" t="s">
        <v>102</v>
      </c>
      <c r="E116">
        <v>7</v>
      </c>
      <c r="F116">
        <v>10</v>
      </c>
      <c r="G116">
        <v>3</v>
      </c>
      <c r="H116">
        <v>338000</v>
      </c>
      <c r="I116">
        <v>27040</v>
      </c>
      <c r="J116">
        <v>3330.4514135514601</v>
      </c>
      <c r="K116">
        <v>27040</v>
      </c>
      <c r="L116">
        <v>395410.451413551</v>
      </c>
      <c r="M116">
        <v>338</v>
      </c>
      <c r="N116">
        <v>1520.99999999999</v>
      </c>
      <c r="O116">
        <v>180</v>
      </c>
      <c r="P116">
        <v>150</v>
      </c>
      <c r="Q116">
        <v>2189</v>
      </c>
      <c r="R116">
        <v>3380</v>
      </c>
      <c r="S116">
        <v>4744.9254169626101</v>
      </c>
      <c r="T116">
        <v>10140</v>
      </c>
      <c r="U116">
        <v>11862.3135424065</v>
      </c>
      <c r="V116" s="10">
        <f t="shared" si="6"/>
        <v>57410.451413550996</v>
      </c>
    </row>
    <row r="117" spans="1:22" ht="16" x14ac:dyDescent="0.2">
      <c r="A117">
        <v>155</v>
      </c>
      <c r="B117" t="s">
        <v>101</v>
      </c>
      <c r="C117">
        <v>1</v>
      </c>
      <c r="D117" t="s">
        <v>102</v>
      </c>
      <c r="E117">
        <v>7</v>
      </c>
      <c r="F117">
        <v>10</v>
      </c>
      <c r="G117">
        <v>3</v>
      </c>
      <c r="H117">
        <v>338000</v>
      </c>
      <c r="I117">
        <v>27040</v>
      </c>
      <c r="J117">
        <v>3330.4514135514601</v>
      </c>
      <c r="K117">
        <v>27040</v>
      </c>
      <c r="L117">
        <v>395410.451413551</v>
      </c>
      <c r="M117">
        <v>338</v>
      </c>
      <c r="N117">
        <v>1520.99999999999</v>
      </c>
      <c r="O117">
        <v>180</v>
      </c>
      <c r="P117">
        <v>150</v>
      </c>
      <c r="Q117">
        <v>2189</v>
      </c>
      <c r="R117">
        <v>3380</v>
      </c>
      <c r="S117">
        <v>4744.9254169626101</v>
      </c>
      <c r="T117">
        <v>10140</v>
      </c>
      <c r="U117">
        <v>11862.3135424065</v>
      </c>
      <c r="V117" s="10">
        <f t="shared" si="6"/>
        <v>57410.451413550996</v>
      </c>
    </row>
    <row r="118" spans="1:22" ht="16" x14ac:dyDescent="0.2">
      <c r="A118">
        <v>157</v>
      </c>
      <c r="B118" t="s">
        <v>101</v>
      </c>
      <c r="C118">
        <v>1</v>
      </c>
      <c r="D118" t="s">
        <v>102</v>
      </c>
      <c r="E118">
        <v>7</v>
      </c>
      <c r="F118">
        <v>10</v>
      </c>
      <c r="G118">
        <v>3</v>
      </c>
      <c r="H118">
        <v>338000</v>
      </c>
      <c r="I118">
        <v>27040</v>
      </c>
      <c r="J118">
        <v>3330.4514135514601</v>
      </c>
      <c r="K118">
        <v>27040</v>
      </c>
      <c r="L118">
        <v>395410.451413551</v>
      </c>
      <c r="M118">
        <v>338</v>
      </c>
      <c r="N118">
        <v>1520.99999999999</v>
      </c>
      <c r="O118">
        <v>180</v>
      </c>
      <c r="P118">
        <v>150</v>
      </c>
      <c r="Q118">
        <v>2189</v>
      </c>
      <c r="R118">
        <v>3380</v>
      </c>
      <c r="S118">
        <v>4744.9254169626101</v>
      </c>
      <c r="T118">
        <v>10140</v>
      </c>
      <c r="U118">
        <v>11862.3135424065</v>
      </c>
      <c r="V118" s="10">
        <f t="shared" si="6"/>
        <v>57410.451413550996</v>
      </c>
    </row>
    <row r="119" spans="1:22" ht="16" x14ac:dyDescent="0.2">
      <c r="A119">
        <v>159</v>
      </c>
      <c r="B119" t="s">
        <v>101</v>
      </c>
      <c r="C119">
        <v>1</v>
      </c>
      <c r="D119" t="s">
        <v>102</v>
      </c>
      <c r="E119">
        <v>7</v>
      </c>
      <c r="F119">
        <v>10</v>
      </c>
      <c r="G119">
        <v>3</v>
      </c>
      <c r="H119">
        <v>338000</v>
      </c>
      <c r="I119">
        <v>27040</v>
      </c>
      <c r="J119">
        <v>3330.4514135514601</v>
      </c>
      <c r="K119">
        <v>27040</v>
      </c>
      <c r="L119">
        <v>395410.451413551</v>
      </c>
      <c r="M119">
        <v>338</v>
      </c>
      <c r="N119">
        <v>1520.99999999999</v>
      </c>
      <c r="O119">
        <v>180</v>
      </c>
      <c r="P119">
        <v>150</v>
      </c>
      <c r="Q119">
        <v>2189</v>
      </c>
      <c r="R119">
        <v>3380</v>
      </c>
      <c r="S119">
        <v>4744.9254169626101</v>
      </c>
      <c r="T119">
        <v>10140</v>
      </c>
      <c r="U119">
        <v>11862.3135424065</v>
      </c>
      <c r="V119" s="10">
        <f t="shared" si="6"/>
        <v>57410.451413550996</v>
      </c>
    </row>
    <row r="120" spans="1:22" ht="16" x14ac:dyDescent="0.2">
      <c r="V120" s="11">
        <f>SUM(V90:V119)</f>
        <v>1862558.5828017532</v>
      </c>
    </row>
    <row r="121" spans="1:22" ht="16" x14ac:dyDescent="0.2">
      <c r="A121">
        <v>68</v>
      </c>
      <c r="B121" t="s">
        <v>101</v>
      </c>
      <c r="C121">
        <v>1</v>
      </c>
      <c r="D121" t="s">
        <v>104</v>
      </c>
      <c r="E121">
        <v>4</v>
      </c>
      <c r="F121">
        <v>11</v>
      </c>
      <c r="G121">
        <v>7</v>
      </c>
      <c r="H121">
        <v>676000</v>
      </c>
      <c r="I121">
        <v>33800</v>
      </c>
      <c r="J121">
        <v>19515.992356670598</v>
      </c>
      <c r="K121">
        <v>33800</v>
      </c>
      <c r="L121">
        <v>763115.99235666997</v>
      </c>
      <c r="M121">
        <v>1577.3333333333301</v>
      </c>
      <c r="N121">
        <v>7097.99999999999</v>
      </c>
      <c r="O121">
        <v>420</v>
      </c>
      <c r="P121">
        <v>350</v>
      </c>
      <c r="Q121">
        <v>9445.3333333333303</v>
      </c>
      <c r="R121">
        <v>6760</v>
      </c>
      <c r="S121">
        <v>9157.3919082800403</v>
      </c>
      <c r="T121">
        <v>20280</v>
      </c>
      <c r="U121">
        <v>22893.479770700102</v>
      </c>
      <c r="V121" s="10">
        <f t="shared" ref="V121:V168" si="7">L121-H121</f>
        <v>87115.992356669973</v>
      </c>
    </row>
    <row r="122" spans="1:22" ht="16" x14ac:dyDescent="0.2">
      <c r="A122">
        <v>70</v>
      </c>
      <c r="B122" t="s">
        <v>101</v>
      </c>
      <c r="C122">
        <v>1</v>
      </c>
      <c r="D122" t="s">
        <v>104</v>
      </c>
      <c r="E122">
        <v>4</v>
      </c>
      <c r="F122">
        <v>11</v>
      </c>
      <c r="G122">
        <v>7</v>
      </c>
      <c r="H122">
        <v>676000</v>
      </c>
      <c r="I122">
        <v>33800</v>
      </c>
      <c r="J122">
        <v>19515.992356670598</v>
      </c>
      <c r="K122">
        <v>33800</v>
      </c>
      <c r="L122">
        <v>763115.99235666997</v>
      </c>
      <c r="M122">
        <v>1577.3333333333301</v>
      </c>
      <c r="N122">
        <v>7097.99999999999</v>
      </c>
      <c r="O122">
        <v>420</v>
      </c>
      <c r="P122">
        <v>350</v>
      </c>
      <c r="Q122">
        <v>9445.3333333333303</v>
      </c>
      <c r="R122">
        <v>6760</v>
      </c>
      <c r="S122">
        <v>9157.3919082800403</v>
      </c>
      <c r="T122">
        <v>20280</v>
      </c>
      <c r="U122">
        <v>22893.479770700102</v>
      </c>
      <c r="V122" s="10">
        <f t="shared" si="7"/>
        <v>87115.992356669973</v>
      </c>
    </row>
    <row r="123" spans="1:22" ht="16" x14ac:dyDescent="0.2">
      <c r="A123">
        <v>85</v>
      </c>
      <c r="B123" t="s">
        <v>101</v>
      </c>
      <c r="C123">
        <v>1</v>
      </c>
      <c r="D123" t="s">
        <v>103</v>
      </c>
      <c r="E123">
        <v>5</v>
      </c>
      <c r="F123">
        <v>11</v>
      </c>
      <c r="G123">
        <v>6</v>
      </c>
      <c r="H123">
        <v>443000</v>
      </c>
      <c r="I123">
        <v>26580</v>
      </c>
      <c r="J123">
        <v>9857.8198507783309</v>
      </c>
      <c r="K123">
        <v>26580</v>
      </c>
      <c r="L123">
        <v>506017.81985077797</v>
      </c>
      <c r="M123">
        <v>886</v>
      </c>
      <c r="N123">
        <v>3986.99999999999</v>
      </c>
      <c r="O123">
        <v>360</v>
      </c>
      <c r="P123">
        <v>300</v>
      </c>
      <c r="Q123">
        <v>5533</v>
      </c>
      <c r="R123">
        <v>4430</v>
      </c>
      <c r="S123">
        <v>6072.2138382093399</v>
      </c>
      <c r="T123">
        <v>13290</v>
      </c>
      <c r="U123">
        <v>15180.534595523301</v>
      </c>
      <c r="V123" s="10">
        <f t="shared" si="7"/>
        <v>63017.819850777974</v>
      </c>
    </row>
    <row r="124" spans="1:22" ht="16" x14ac:dyDescent="0.2">
      <c r="A124">
        <v>88</v>
      </c>
      <c r="B124" t="s">
        <v>101</v>
      </c>
      <c r="C124">
        <v>1</v>
      </c>
      <c r="D124" t="s">
        <v>103</v>
      </c>
      <c r="E124">
        <v>5</v>
      </c>
      <c r="F124">
        <v>11</v>
      </c>
      <c r="G124">
        <v>6</v>
      </c>
      <c r="H124">
        <v>443000</v>
      </c>
      <c r="I124">
        <v>26580</v>
      </c>
      <c r="J124">
        <v>9857.8198507783309</v>
      </c>
      <c r="K124">
        <v>26580</v>
      </c>
      <c r="L124">
        <v>506017.81985077797</v>
      </c>
      <c r="M124">
        <v>886</v>
      </c>
      <c r="N124">
        <v>3986.99999999999</v>
      </c>
      <c r="O124">
        <v>360</v>
      </c>
      <c r="P124">
        <v>300</v>
      </c>
      <c r="Q124">
        <v>5533</v>
      </c>
      <c r="R124">
        <v>4430</v>
      </c>
      <c r="S124">
        <v>6072.2138382093399</v>
      </c>
      <c r="T124">
        <v>13290</v>
      </c>
      <c r="U124">
        <v>15180.534595523301</v>
      </c>
      <c r="V124" s="10">
        <f t="shared" si="7"/>
        <v>63017.819850777974</v>
      </c>
    </row>
    <row r="125" spans="1:22" ht="16" x14ac:dyDescent="0.2">
      <c r="A125">
        <v>89</v>
      </c>
      <c r="B125" t="s">
        <v>101</v>
      </c>
      <c r="C125">
        <v>1</v>
      </c>
      <c r="D125" t="s">
        <v>103</v>
      </c>
      <c r="E125">
        <v>5</v>
      </c>
      <c r="F125">
        <v>11</v>
      </c>
      <c r="G125">
        <v>6</v>
      </c>
      <c r="H125">
        <v>443000</v>
      </c>
      <c r="I125">
        <v>26580</v>
      </c>
      <c r="J125">
        <v>9857.8198507783309</v>
      </c>
      <c r="K125">
        <v>26580</v>
      </c>
      <c r="L125">
        <v>506017.81985077797</v>
      </c>
      <c r="M125">
        <v>886</v>
      </c>
      <c r="N125">
        <v>3986.99999999999</v>
      </c>
      <c r="O125">
        <v>360</v>
      </c>
      <c r="P125">
        <v>300</v>
      </c>
      <c r="Q125">
        <v>5533</v>
      </c>
      <c r="R125">
        <v>4430</v>
      </c>
      <c r="S125">
        <v>6072.2138382093399</v>
      </c>
      <c r="T125">
        <v>13290</v>
      </c>
      <c r="U125">
        <v>15180.534595523301</v>
      </c>
      <c r="V125" s="10">
        <f t="shared" si="7"/>
        <v>63017.819850777974</v>
      </c>
    </row>
    <row r="126" spans="1:22" ht="16" x14ac:dyDescent="0.2">
      <c r="A126">
        <v>91</v>
      </c>
      <c r="B126" t="s">
        <v>101</v>
      </c>
      <c r="C126">
        <v>1</v>
      </c>
      <c r="D126" t="s">
        <v>103</v>
      </c>
      <c r="E126">
        <v>5</v>
      </c>
      <c r="F126">
        <v>11</v>
      </c>
      <c r="G126">
        <v>6</v>
      </c>
      <c r="H126">
        <v>443000</v>
      </c>
      <c r="I126">
        <v>26580</v>
      </c>
      <c r="J126">
        <v>9857.8198507783309</v>
      </c>
      <c r="K126">
        <v>26580</v>
      </c>
      <c r="L126">
        <v>506017.81985077797</v>
      </c>
      <c r="M126">
        <v>886</v>
      </c>
      <c r="N126">
        <v>3986.99999999999</v>
      </c>
      <c r="O126">
        <v>360</v>
      </c>
      <c r="P126">
        <v>300</v>
      </c>
      <c r="Q126">
        <v>5533</v>
      </c>
      <c r="R126">
        <v>4430</v>
      </c>
      <c r="S126">
        <v>6072.2138382093399</v>
      </c>
      <c r="T126">
        <v>13290</v>
      </c>
      <c r="U126">
        <v>15180.534595523301</v>
      </c>
      <c r="V126" s="10">
        <f t="shared" si="7"/>
        <v>63017.819850777974</v>
      </c>
    </row>
    <row r="127" spans="1:22" ht="16" x14ac:dyDescent="0.2">
      <c r="A127">
        <v>95</v>
      </c>
      <c r="B127" t="s">
        <v>101</v>
      </c>
      <c r="C127">
        <v>1</v>
      </c>
      <c r="D127" t="s">
        <v>103</v>
      </c>
      <c r="E127">
        <v>5</v>
      </c>
      <c r="F127">
        <v>11</v>
      </c>
      <c r="G127">
        <v>6</v>
      </c>
      <c r="H127">
        <v>443000</v>
      </c>
      <c r="I127">
        <v>26580</v>
      </c>
      <c r="J127">
        <v>9857.8198507783309</v>
      </c>
      <c r="K127">
        <v>26580</v>
      </c>
      <c r="L127">
        <v>506017.81985077797</v>
      </c>
      <c r="M127">
        <v>886</v>
      </c>
      <c r="N127">
        <v>3986.99999999999</v>
      </c>
      <c r="O127">
        <v>360</v>
      </c>
      <c r="P127">
        <v>300</v>
      </c>
      <c r="Q127">
        <v>5533</v>
      </c>
      <c r="R127">
        <v>4430</v>
      </c>
      <c r="S127">
        <v>6072.2138382093399</v>
      </c>
      <c r="T127">
        <v>13290</v>
      </c>
      <c r="U127">
        <v>15180.534595523301</v>
      </c>
      <c r="V127" s="10">
        <f t="shared" si="7"/>
        <v>63017.819850777974</v>
      </c>
    </row>
    <row r="128" spans="1:22" ht="16" x14ac:dyDescent="0.2">
      <c r="A128">
        <v>99</v>
      </c>
      <c r="B128" t="s">
        <v>101</v>
      </c>
      <c r="C128">
        <v>1</v>
      </c>
      <c r="D128" t="s">
        <v>103</v>
      </c>
      <c r="E128">
        <v>5</v>
      </c>
      <c r="F128">
        <v>11</v>
      </c>
      <c r="G128">
        <v>6</v>
      </c>
      <c r="H128">
        <v>443000</v>
      </c>
      <c r="I128">
        <v>26580</v>
      </c>
      <c r="J128">
        <v>9857.8198507783309</v>
      </c>
      <c r="K128">
        <v>26580</v>
      </c>
      <c r="L128">
        <v>506017.81985077797</v>
      </c>
      <c r="M128">
        <v>886</v>
      </c>
      <c r="N128">
        <v>3986.99999999999</v>
      </c>
      <c r="O128">
        <v>360</v>
      </c>
      <c r="P128">
        <v>300</v>
      </c>
      <c r="Q128">
        <v>5533</v>
      </c>
      <c r="R128">
        <v>4430</v>
      </c>
      <c r="S128">
        <v>6072.2138382093399</v>
      </c>
      <c r="T128">
        <v>13290</v>
      </c>
      <c r="U128">
        <v>15180.534595523301</v>
      </c>
      <c r="V128" s="10">
        <f t="shared" si="7"/>
        <v>63017.819850777974</v>
      </c>
    </row>
    <row r="129" spans="1:22" ht="16" x14ac:dyDescent="0.2">
      <c r="A129">
        <v>105</v>
      </c>
      <c r="B129" t="s">
        <v>101</v>
      </c>
      <c r="C129">
        <v>1</v>
      </c>
      <c r="D129" t="s">
        <v>104</v>
      </c>
      <c r="E129">
        <v>5</v>
      </c>
      <c r="F129">
        <v>11</v>
      </c>
      <c r="G129">
        <v>6</v>
      </c>
      <c r="H129">
        <v>676000</v>
      </c>
      <c r="I129">
        <v>33800</v>
      </c>
      <c r="J129">
        <v>16693.871778868899</v>
      </c>
      <c r="K129">
        <v>33800</v>
      </c>
      <c r="L129">
        <v>760293.87177886895</v>
      </c>
      <c r="M129">
        <v>1352</v>
      </c>
      <c r="N129">
        <v>6083.99999999999</v>
      </c>
      <c r="O129">
        <v>360</v>
      </c>
      <c r="P129">
        <v>300</v>
      </c>
      <c r="Q129">
        <v>8095.99999999999</v>
      </c>
      <c r="R129">
        <v>6760</v>
      </c>
      <c r="S129">
        <v>9123.5264613464205</v>
      </c>
      <c r="T129">
        <v>20280</v>
      </c>
      <c r="U129">
        <v>22808.816153365999</v>
      </c>
      <c r="V129" s="10">
        <f t="shared" si="7"/>
        <v>84293.871778868954</v>
      </c>
    </row>
    <row r="130" spans="1:22" ht="16" x14ac:dyDescent="0.2">
      <c r="A130">
        <v>114</v>
      </c>
      <c r="B130" t="s">
        <v>101</v>
      </c>
      <c r="C130">
        <v>1</v>
      </c>
      <c r="D130" t="s">
        <v>102</v>
      </c>
      <c r="E130">
        <v>6</v>
      </c>
      <c r="F130">
        <v>11</v>
      </c>
      <c r="G130">
        <v>5</v>
      </c>
      <c r="H130">
        <v>338000</v>
      </c>
      <c r="I130">
        <v>27040</v>
      </c>
      <c r="J130">
        <v>5568.9637343662098</v>
      </c>
      <c r="K130">
        <v>27040</v>
      </c>
      <c r="L130">
        <v>397648.963734366</v>
      </c>
      <c r="M130">
        <v>563.33333333333303</v>
      </c>
      <c r="N130">
        <v>2534.99999999999</v>
      </c>
      <c r="O130">
        <v>300</v>
      </c>
      <c r="P130">
        <v>250</v>
      </c>
      <c r="Q130">
        <v>3648.3333333333298</v>
      </c>
      <c r="R130">
        <v>3380</v>
      </c>
      <c r="S130">
        <v>4771.78756481239</v>
      </c>
      <c r="T130">
        <v>10140</v>
      </c>
      <c r="U130">
        <v>11929.468912030899</v>
      </c>
      <c r="V130" s="10">
        <f t="shared" si="7"/>
        <v>59648.963734366</v>
      </c>
    </row>
    <row r="131" spans="1:22" ht="16" x14ac:dyDescent="0.2">
      <c r="A131">
        <v>121</v>
      </c>
      <c r="B131" t="s">
        <v>101</v>
      </c>
      <c r="C131">
        <v>1</v>
      </c>
      <c r="D131" t="s">
        <v>103</v>
      </c>
      <c r="E131">
        <v>6</v>
      </c>
      <c r="F131">
        <v>11</v>
      </c>
      <c r="G131">
        <v>5</v>
      </c>
      <c r="H131">
        <v>443000</v>
      </c>
      <c r="I131">
        <v>26580</v>
      </c>
      <c r="J131">
        <v>8199.7467798370599</v>
      </c>
      <c r="K131">
        <v>26580</v>
      </c>
      <c r="L131">
        <v>504359.74677983701</v>
      </c>
      <c r="M131">
        <v>738.33333333333303</v>
      </c>
      <c r="N131">
        <v>3322.49999999999</v>
      </c>
      <c r="O131">
        <v>300</v>
      </c>
      <c r="P131">
        <v>250</v>
      </c>
      <c r="Q131">
        <v>4610.8333333333303</v>
      </c>
      <c r="R131">
        <v>4430</v>
      </c>
      <c r="S131">
        <v>6052.3169613580403</v>
      </c>
      <c r="T131">
        <v>13290</v>
      </c>
      <c r="U131">
        <v>15130.7924033951</v>
      </c>
      <c r="V131" s="10">
        <f t="shared" si="7"/>
        <v>61359.746779837005</v>
      </c>
    </row>
    <row r="132" spans="1:22" ht="16" x14ac:dyDescent="0.2">
      <c r="A132">
        <v>122</v>
      </c>
      <c r="B132" t="s">
        <v>101</v>
      </c>
      <c r="C132">
        <v>1</v>
      </c>
      <c r="D132" t="s">
        <v>103</v>
      </c>
      <c r="E132">
        <v>6</v>
      </c>
      <c r="F132">
        <v>11</v>
      </c>
      <c r="G132">
        <v>5</v>
      </c>
      <c r="H132">
        <v>443000</v>
      </c>
      <c r="I132">
        <v>26580</v>
      </c>
      <c r="J132">
        <v>8199.7467798370599</v>
      </c>
      <c r="K132">
        <v>26580</v>
      </c>
      <c r="L132">
        <v>504359.74677983701</v>
      </c>
      <c r="M132">
        <v>738.33333333333303</v>
      </c>
      <c r="N132">
        <v>3322.49999999999</v>
      </c>
      <c r="O132">
        <v>300</v>
      </c>
      <c r="P132">
        <v>250</v>
      </c>
      <c r="Q132">
        <v>4610.8333333333303</v>
      </c>
      <c r="R132">
        <v>4430</v>
      </c>
      <c r="S132">
        <v>6052.3169613580403</v>
      </c>
      <c r="T132">
        <v>13290</v>
      </c>
      <c r="U132">
        <v>15130.7924033951</v>
      </c>
      <c r="V132" s="10">
        <f t="shared" si="7"/>
        <v>61359.746779837005</v>
      </c>
    </row>
    <row r="133" spans="1:22" ht="16" x14ac:dyDescent="0.2">
      <c r="A133">
        <v>123</v>
      </c>
      <c r="B133" t="s">
        <v>101</v>
      </c>
      <c r="C133">
        <v>1</v>
      </c>
      <c r="D133" t="s">
        <v>103</v>
      </c>
      <c r="E133">
        <v>6</v>
      </c>
      <c r="F133">
        <v>11</v>
      </c>
      <c r="G133">
        <v>5</v>
      </c>
      <c r="H133">
        <v>443000</v>
      </c>
      <c r="I133">
        <v>26580</v>
      </c>
      <c r="J133">
        <v>8199.7467798370599</v>
      </c>
      <c r="K133">
        <v>26580</v>
      </c>
      <c r="L133">
        <v>504359.74677983701</v>
      </c>
      <c r="M133">
        <v>738.33333333333303</v>
      </c>
      <c r="N133">
        <v>3322.49999999999</v>
      </c>
      <c r="O133">
        <v>300</v>
      </c>
      <c r="P133">
        <v>250</v>
      </c>
      <c r="Q133">
        <v>4610.8333333333303</v>
      </c>
      <c r="R133">
        <v>4430</v>
      </c>
      <c r="S133">
        <v>6052.3169613580403</v>
      </c>
      <c r="T133">
        <v>13290</v>
      </c>
      <c r="U133">
        <v>15130.7924033951</v>
      </c>
      <c r="V133" s="10">
        <f t="shared" si="7"/>
        <v>61359.746779837005</v>
      </c>
    </row>
    <row r="134" spans="1:22" ht="16" x14ac:dyDescent="0.2">
      <c r="A134">
        <v>125</v>
      </c>
      <c r="B134" t="s">
        <v>101</v>
      </c>
      <c r="C134">
        <v>1</v>
      </c>
      <c r="D134" t="s">
        <v>103</v>
      </c>
      <c r="E134">
        <v>6</v>
      </c>
      <c r="F134">
        <v>11</v>
      </c>
      <c r="G134">
        <v>5</v>
      </c>
      <c r="H134">
        <v>443000</v>
      </c>
      <c r="I134">
        <v>26580</v>
      </c>
      <c r="J134">
        <v>8199.7467798370599</v>
      </c>
      <c r="K134">
        <v>26580</v>
      </c>
      <c r="L134">
        <v>504359.74677983701</v>
      </c>
      <c r="M134">
        <v>738.33333333333303</v>
      </c>
      <c r="N134">
        <v>3322.49999999999</v>
      </c>
      <c r="O134">
        <v>300</v>
      </c>
      <c r="P134">
        <v>250</v>
      </c>
      <c r="Q134">
        <v>4610.8333333333303</v>
      </c>
      <c r="R134">
        <v>4430</v>
      </c>
      <c r="S134">
        <v>6052.3169613580403</v>
      </c>
      <c r="T134">
        <v>13290</v>
      </c>
      <c r="U134">
        <v>15130.7924033951</v>
      </c>
      <c r="V134" s="10">
        <f t="shared" si="7"/>
        <v>61359.746779837005</v>
      </c>
    </row>
    <row r="135" spans="1:22" ht="16" x14ac:dyDescent="0.2">
      <c r="A135">
        <v>126</v>
      </c>
      <c r="B135" t="s">
        <v>101</v>
      </c>
      <c r="C135">
        <v>1</v>
      </c>
      <c r="D135" t="s">
        <v>103</v>
      </c>
      <c r="E135">
        <v>6</v>
      </c>
      <c r="F135">
        <v>11</v>
      </c>
      <c r="G135">
        <v>5</v>
      </c>
      <c r="H135">
        <v>443000</v>
      </c>
      <c r="I135">
        <v>26580</v>
      </c>
      <c r="J135">
        <v>8199.7467798370599</v>
      </c>
      <c r="K135">
        <v>26580</v>
      </c>
      <c r="L135">
        <v>504359.74677983701</v>
      </c>
      <c r="M135">
        <v>738.33333333333303</v>
      </c>
      <c r="N135">
        <v>3322.49999999999</v>
      </c>
      <c r="O135">
        <v>300</v>
      </c>
      <c r="P135">
        <v>250</v>
      </c>
      <c r="Q135">
        <v>4610.8333333333303</v>
      </c>
      <c r="R135">
        <v>4430</v>
      </c>
      <c r="S135">
        <v>6052.3169613580403</v>
      </c>
      <c r="T135">
        <v>13290</v>
      </c>
      <c r="U135">
        <v>15130.7924033951</v>
      </c>
      <c r="V135" s="10">
        <f t="shared" si="7"/>
        <v>61359.746779837005</v>
      </c>
    </row>
    <row r="136" spans="1:22" ht="16" x14ac:dyDescent="0.2">
      <c r="A136">
        <v>128</v>
      </c>
      <c r="B136" t="s">
        <v>101</v>
      </c>
      <c r="C136">
        <v>1</v>
      </c>
      <c r="D136" t="s">
        <v>103</v>
      </c>
      <c r="E136">
        <v>6</v>
      </c>
      <c r="F136">
        <v>11</v>
      </c>
      <c r="G136">
        <v>5</v>
      </c>
      <c r="H136">
        <v>443000</v>
      </c>
      <c r="I136">
        <v>26580</v>
      </c>
      <c r="J136">
        <v>8199.7467798370599</v>
      </c>
      <c r="K136">
        <v>26580</v>
      </c>
      <c r="L136">
        <v>504359.74677983701</v>
      </c>
      <c r="M136">
        <v>738.33333333333303</v>
      </c>
      <c r="N136">
        <v>3322.49999999999</v>
      </c>
      <c r="O136">
        <v>300</v>
      </c>
      <c r="P136">
        <v>250</v>
      </c>
      <c r="Q136">
        <v>4610.8333333333303</v>
      </c>
      <c r="R136">
        <v>4430</v>
      </c>
      <c r="S136">
        <v>6052.3169613580403</v>
      </c>
      <c r="T136">
        <v>13290</v>
      </c>
      <c r="U136">
        <v>15130.7924033951</v>
      </c>
      <c r="V136" s="10">
        <f t="shared" si="7"/>
        <v>61359.746779837005</v>
      </c>
    </row>
    <row r="137" spans="1:22" ht="16" x14ac:dyDescent="0.2">
      <c r="A137">
        <v>130</v>
      </c>
      <c r="B137" t="s">
        <v>101</v>
      </c>
      <c r="C137">
        <v>1</v>
      </c>
      <c r="D137" t="s">
        <v>103</v>
      </c>
      <c r="E137">
        <v>6</v>
      </c>
      <c r="F137">
        <v>11</v>
      </c>
      <c r="G137">
        <v>5</v>
      </c>
      <c r="H137">
        <v>443000</v>
      </c>
      <c r="I137">
        <v>26580</v>
      </c>
      <c r="J137">
        <v>8199.7467798370599</v>
      </c>
      <c r="K137">
        <v>26580</v>
      </c>
      <c r="L137">
        <v>504359.74677983701</v>
      </c>
      <c r="M137">
        <v>738.33333333333303</v>
      </c>
      <c r="N137">
        <v>3322.49999999999</v>
      </c>
      <c r="O137">
        <v>300</v>
      </c>
      <c r="P137">
        <v>250</v>
      </c>
      <c r="Q137">
        <v>4610.8333333333303</v>
      </c>
      <c r="R137">
        <v>4430</v>
      </c>
      <c r="S137">
        <v>6052.3169613580403</v>
      </c>
      <c r="T137">
        <v>13290</v>
      </c>
      <c r="U137">
        <v>15130.7924033951</v>
      </c>
      <c r="V137" s="10">
        <f t="shared" si="7"/>
        <v>61359.746779837005</v>
      </c>
    </row>
    <row r="138" spans="1:22" ht="16" x14ac:dyDescent="0.2">
      <c r="A138">
        <v>131</v>
      </c>
      <c r="B138" t="s">
        <v>101</v>
      </c>
      <c r="C138">
        <v>1</v>
      </c>
      <c r="D138" t="s">
        <v>103</v>
      </c>
      <c r="E138">
        <v>6</v>
      </c>
      <c r="F138">
        <v>11</v>
      </c>
      <c r="G138">
        <v>5</v>
      </c>
      <c r="H138">
        <v>443000</v>
      </c>
      <c r="I138">
        <v>26580</v>
      </c>
      <c r="J138">
        <v>8199.7467798370599</v>
      </c>
      <c r="K138">
        <v>26580</v>
      </c>
      <c r="L138">
        <v>504359.74677983701</v>
      </c>
      <c r="M138">
        <v>738.33333333333303</v>
      </c>
      <c r="N138">
        <v>3322.49999999999</v>
      </c>
      <c r="O138">
        <v>300</v>
      </c>
      <c r="P138">
        <v>250</v>
      </c>
      <c r="Q138">
        <v>4610.8333333333303</v>
      </c>
      <c r="R138">
        <v>4430</v>
      </c>
      <c r="S138">
        <v>6052.3169613580403</v>
      </c>
      <c r="T138">
        <v>13290</v>
      </c>
      <c r="U138">
        <v>15130.7924033951</v>
      </c>
      <c r="V138" s="10">
        <f t="shared" si="7"/>
        <v>61359.746779837005</v>
      </c>
    </row>
    <row r="139" spans="1:22" ht="16" x14ac:dyDescent="0.2">
      <c r="A139">
        <v>133</v>
      </c>
      <c r="B139" t="s">
        <v>101</v>
      </c>
      <c r="C139">
        <v>1</v>
      </c>
      <c r="D139" t="s">
        <v>103</v>
      </c>
      <c r="E139">
        <v>6</v>
      </c>
      <c r="F139">
        <v>11</v>
      </c>
      <c r="G139">
        <v>5</v>
      </c>
      <c r="H139">
        <v>443000</v>
      </c>
      <c r="I139">
        <v>26580</v>
      </c>
      <c r="J139">
        <v>8199.7467798370599</v>
      </c>
      <c r="K139">
        <v>26580</v>
      </c>
      <c r="L139">
        <v>504359.74677983701</v>
      </c>
      <c r="M139">
        <v>738.33333333333303</v>
      </c>
      <c r="N139">
        <v>3322.49999999999</v>
      </c>
      <c r="O139">
        <v>300</v>
      </c>
      <c r="P139">
        <v>250</v>
      </c>
      <c r="Q139">
        <v>4610.8333333333303</v>
      </c>
      <c r="R139">
        <v>4430</v>
      </c>
      <c r="S139">
        <v>6052.3169613580403</v>
      </c>
      <c r="T139">
        <v>13290</v>
      </c>
      <c r="U139">
        <v>15130.7924033951</v>
      </c>
      <c r="V139" s="10">
        <f t="shared" si="7"/>
        <v>61359.746779837005</v>
      </c>
    </row>
    <row r="140" spans="1:22" ht="16" x14ac:dyDescent="0.2">
      <c r="A140">
        <v>134</v>
      </c>
      <c r="B140" t="s">
        <v>101</v>
      </c>
      <c r="C140">
        <v>1</v>
      </c>
      <c r="D140" t="s">
        <v>103</v>
      </c>
      <c r="E140">
        <v>6</v>
      </c>
      <c r="F140">
        <v>11</v>
      </c>
      <c r="G140">
        <v>5</v>
      </c>
      <c r="H140">
        <v>443000</v>
      </c>
      <c r="I140">
        <v>26580</v>
      </c>
      <c r="J140">
        <v>8199.7467798370599</v>
      </c>
      <c r="K140">
        <v>26580</v>
      </c>
      <c r="L140">
        <v>504359.74677983701</v>
      </c>
      <c r="M140">
        <v>738.33333333333303</v>
      </c>
      <c r="N140">
        <v>3322.49999999999</v>
      </c>
      <c r="O140">
        <v>300</v>
      </c>
      <c r="P140">
        <v>250</v>
      </c>
      <c r="Q140">
        <v>4610.8333333333303</v>
      </c>
      <c r="R140">
        <v>4430</v>
      </c>
      <c r="S140">
        <v>6052.3169613580403</v>
      </c>
      <c r="T140">
        <v>13290</v>
      </c>
      <c r="U140">
        <v>15130.7924033951</v>
      </c>
      <c r="V140" s="10">
        <f t="shared" si="7"/>
        <v>61359.746779837005</v>
      </c>
    </row>
    <row r="141" spans="1:22" ht="16" x14ac:dyDescent="0.2">
      <c r="A141">
        <v>135</v>
      </c>
      <c r="B141" t="s">
        <v>101</v>
      </c>
      <c r="C141">
        <v>1</v>
      </c>
      <c r="D141" t="s">
        <v>103</v>
      </c>
      <c r="E141">
        <v>6</v>
      </c>
      <c r="F141">
        <v>11</v>
      </c>
      <c r="G141">
        <v>5</v>
      </c>
      <c r="H141">
        <v>443000</v>
      </c>
      <c r="I141">
        <v>26580</v>
      </c>
      <c r="J141">
        <v>8199.7467798370599</v>
      </c>
      <c r="K141">
        <v>26580</v>
      </c>
      <c r="L141">
        <v>504359.74677983701</v>
      </c>
      <c r="M141">
        <v>738.33333333333303</v>
      </c>
      <c r="N141">
        <v>3322.49999999999</v>
      </c>
      <c r="O141">
        <v>300</v>
      </c>
      <c r="P141">
        <v>250</v>
      </c>
      <c r="Q141">
        <v>4610.8333333333303</v>
      </c>
      <c r="R141">
        <v>4430</v>
      </c>
      <c r="S141">
        <v>6052.3169613580403</v>
      </c>
      <c r="T141">
        <v>13290</v>
      </c>
      <c r="U141">
        <v>15130.7924033951</v>
      </c>
      <c r="V141" s="10">
        <f t="shared" si="7"/>
        <v>61359.746779837005</v>
      </c>
    </row>
    <row r="142" spans="1:22" ht="16" x14ac:dyDescent="0.2">
      <c r="A142">
        <v>136</v>
      </c>
      <c r="B142" t="s">
        <v>101</v>
      </c>
      <c r="C142">
        <v>1</v>
      </c>
      <c r="D142" t="s">
        <v>103</v>
      </c>
      <c r="E142">
        <v>6</v>
      </c>
      <c r="F142">
        <v>11</v>
      </c>
      <c r="G142">
        <v>5</v>
      </c>
      <c r="H142">
        <v>443000</v>
      </c>
      <c r="I142">
        <v>26580</v>
      </c>
      <c r="J142">
        <v>8199.7467798370599</v>
      </c>
      <c r="K142">
        <v>26580</v>
      </c>
      <c r="L142">
        <v>504359.74677983701</v>
      </c>
      <c r="M142">
        <v>738.33333333333303</v>
      </c>
      <c r="N142">
        <v>3322.49999999999</v>
      </c>
      <c r="O142">
        <v>300</v>
      </c>
      <c r="P142">
        <v>250</v>
      </c>
      <c r="Q142">
        <v>4610.8333333333303</v>
      </c>
      <c r="R142">
        <v>4430</v>
      </c>
      <c r="S142">
        <v>6052.3169613580403</v>
      </c>
      <c r="T142">
        <v>13290</v>
      </c>
      <c r="U142">
        <v>15130.7924033951</v>
      </c>
      <c r="V142" s="10">
        <f t="shared" si="7"/>
        <v>61359.746779837005</v>
      </c>
    </row>
    <row r="143" spans="1:22" ht="16" x14ac:dyDescent="0.2">
      <c r="A143">
        <v>137</v>
      </c>
      <c r="B143" t="s">
        <v>101</v>
      </c>
      <c r="C143">
        <v>1</v>
      </c>
      <c r="D143" t="s">
        <v>103</v>
      </c>
      <c r="E143">
        <v>6</v>
      </c>
      <c r="F143">
        <v>11</v>
      </c>
      <c r="G143">
        <v>5</v>
      </c>
      <c r="H143">
        <v>443000</v>
      </c>
      <c r="I143">
        <v>26580</v>
      </c>
      <c r="J143">
        <v>8199.7467798370599</v>
      </c>
      <c r="K143">
        <v>26580</v>
      </c>
      <c r="L143">
        <v>504359.74677983701</v>
      </c>
      <c r="M143">
        <v>738.33333333333303</v>
      </c>
      <c r="N143">
        <v>3322.49999999999</v>
      </c>
      <c r="O143">
        <v>300</v>
      </c>
      <c r="P143">
        <v>250</v>
      </c>
      <c r="Q143">
        <v>4610.8333333333303</v>
      </c>
      <c r="R143">
        <v>4430</v>
      </c>
      <c r="S143">
        <v>6052.3169613580403</v>
      </c>
      <c r="T143">
        <v>13290</v>
      </c>
      <c r="U143">
        <v>15130.7924033951</v>
      </c>
      <c r="V143" s="10">
        <f t="shared" si="7"/>
        <v>61359.746779837005</v>
      </c>
    </row>
    <row r="144" spans="1:22" ht="16" x14ac:dyDescent="0.2">
      <c r="A144">
        <v>139</v>
      </c>
      <c r="B144" t="s">
        <v>101</v>
      </c>
      <c r="C144">
        <v>1</v>
      </c>
      <c r="D144" t="s">
        <v>103</v>
      </c>
      <c r="E144">
        <v>6</v>
      </c>
      <c r="F144">
        <v>11</v>
      </c>
      <c r="G144">
        <v>5</v>
      </c>
      <c r="H144">
        <v>443000</v>
      </c>
      <c r="I144">
        <v>26580</v>
      </c>
      <c r="J144">
        <v>8199.7467798370599</v>
      </c>
      <c r="K144">
        <v>26580</v>
      </c>
      <c r="L144">
        <v>504359.74677983701</v>
      </c>
      <c r="M144">
        <v>738.33333333333303</v>
      </c>
      <c r="N144">
        <v>3322.49999999999</v>
      </c>
      <c r="O144">
        <v>300</v>
      </c>
      <c r="P144">
        <v>250</v>
      </c>
      <c r="Q144">
        <v>4610.8333333333303</v>
      </c>
      <c r="R144">
        <v>4430</v>
      </c>
      <c r="S144">
        <v>6052.3169613580403</v>
      </c>
      <c r="T144">
        <v>13290</v>
      </c>
      <c r="U144">
        <v>15130.7924033951</v>
      </c>
      <c r="V144" s="10">
        <f t="shared" si="7"/>
        <v>61359.746779837005</v>
      </c>
    </row>
    <row r="145" spans="1:22" ht="16" x14ac:dyDescent="0.2">
      <c r="A145">
        <v>143</v>
      </c>
      <c r="B145" t="s">
        <v>101</v>
      </c>
      <c r="C145">
        <v>1</v>
      </c>
      <c r="D145" t="s">
        <v>104</v>
      </c>
      <c r="E145">
        <v>6</v>
      </c>
      <c r="F145">
        <v>11</v>
      </c>
      <c r="G145">
        <v>5</v>
      </c>
      <c r="H145">
        <v>676000</v>
      </c>
      <c r="I145">
        <v>33800</v>
      </c>
      <c r="J145">
        <v>13883.202216778</v>
      </c>
      <c r="K145">
        <v>33800</v>
      </c>
      <c r="L145">
        <v>757483.20221677795</v>
      </c>
      <c r="M145">
        <v>1126.6666666666599</v>
      </c>
      <c r="N145">
        <v>5069.99999999999</v>
      </c>
      <c r="O145">
        <v>300</v>
      </c>
      <c r="P145">
        <v>250</v>
      </c>
      <c r="Q145">
        <v>6746.6666666666597</v>
      </c>
      <c r="R145">
        <v>6760</v>
      </c>
      <c r="S145">
        <v>9089.79842660133</v>
      </c>
      <c r="T145">
        <v>20280</v>
      </c>
      <c r="U145">
        <v>22724.4960665033</v>
      </c>
      <c r="V145" s="10">
        <f t="shared" si="7"/>
        <v>81483.202216777951</v>
      </c>
    </row>
    <row r="146" spans="1:22" ht="16" x14ac:dyDescent="0.2">
      <c r="A146">
        <v>146</v>
      </c>
      <c r="B146" t="s">
        <v>101</v>
      </c>
      <c r="C146">
        <v>1</v>
      </c>
      <c r="D146" t="s">
        <v>102</v>
      </c>
      <c r="E146">
        <v>7</v>
      </c>
      <c r="F146">
        <v>11</v>
      </c>
      <c r="G146">
        <v>4</v>
      </c>
      <c r="H146">
        <v>338000</v>
      </c>
      <c r="I146">
        <v>27040</v>
      </c>
      <c r="J146">
        <v>4447.8784912198998</v>
      </c>
      <c r="K146">
        <v>27040</v>
      </c>
      <c r="L146">
        <v>396527.87849121902</v>
      </c>
      <c r="M146">
        <v>450.666666666666</v>
      </c>
      <c r="N146">
        <v>2027.99999999999</v>
      </c>
      <c r="O146">
        <v>240</v>
      </c>
      <c r="P146">
        <v>200</v>
      </c>
      <c r="Q146">
        <v>2918.6666666666601</v>
      </c>
      <c r="R146">
        <v>3380</v>
      </c>
      <c r="S146">
        <v>4758.3345418946301</v>
      </c>
      <c r="T146">
        <v>10140</v>
      </c>
      <c r="U146">
        <v>11895.836354736501</v>
      </c>
      <c r="V146" s="10">
        <f t="shared" si="7"/>
        <v>58527.878491219017</v>
      </c>
    </row>
    <row r="147" spans="1:22" ht="16" x14ac:dyDescent="0.2">
      <c r="A147">
        <v>147</v>
      </c>
      <c r="B147" t="s">
        <v>101</v>
      </c>
      <c r="C147">
        <v>1</v>
      </c>
      <c r="D147" t="s">
        <v>102</v>
      </c>
      <c r="E147">
        <v>7</v>
      </c>
      <c r="F147">
        <v>11</v>
      </c>
      <c r="G147">
        <v>4</v>
      </c>
      <c r="H147">
        <v>338000</v>
      </c>
      <c r="I147">
        <v>27040</v>
      </c>
      <c r="J147">
        <v>4447.8784912198998</v>
      </c>
      <c r="K147">
        <v>27040</v>
      </c>
      <c r="L147">
        <v>396527.87849121902</v>
      </c>
      <c r="M147">
        <v>450.666666666666</v>
      </c>
      <c r="N147">
        <v>2027.99999999999</v>
      </c>
      <c r="O147">
        <v>240</v>
      </c>
      <c r="P147">
        <v>200</v>
      </c>
      <c r="Q147">
        <v>2918.6666666666601</v>
      </c>
      <c r="R147">
        <v>3380</v>
      </c>
      <c r="S147">
        <v>4758.3345418946301</v>
      </c>
      <c r="T147">
        <v>10140</v>
      </c>
      <c r="U147">
        <v>11895.836354736501</v>
      </c>
      <c r="V147" s="10">
        <f t="shared" si="7"/>
        <v>58527.878491219017</v>
      </c>
    </row>
    <row r="148" spans="1:22" ht="16" x14ac:dyDescent="0.2">
      <c r="A148">
        <v>148</v>
      </c>
      <c r="B148" t="s">
        <v>101</v>
      </c>
      <c r="C148">
        <v>1</v>
      </c>
      <c r="D148" t="s">
        <v>102</v>
      </c>
      <c r="E148">
        <v>7</v>
      </c>
      <c r="F148">
        <v>11</v>
      </c>
      <c r="G148">
        <v>4</v>
      </c>
      <c r="H148">
        <v>338000</v>
      </c>
      <c r="I148">
        <v>27040</v>
      </c>
      <c r="J148">
        <v>4447.8784912198998</v>
      </c>
      <c r="K148">
        <v>27040</v>
      </c>
      <c r="L148">
        <v>396527.87849121902</v>
      </c>
      <c r="M148">
        <v>450.666666666666</v>
      </c>
      <c r="N148">
        <v>2027.99999999999</v>
      </c>
      <c r="O148">
        <v>240</v>
      </c>
      <c r="P148">
        <v>200</v>
      </c>
      <c r="Q148">
        <v>2918.6666666666601</v>
      </c>
      <c r="R148">
        <v>3380</v>
      </c>
      <c r="S148">
        <v>4758.3345418946301</v>
      </c>
      <c r="T148">
        <v>10140</v>
      </c>
      <c r="U148">
        <v>11895.836354736501</v>
      </c>
      <c r="V148" s="10">
        <f t="shared" si="7"/>
        <v>58527.878491219017</v>
      </c>
    </row>
    <row r="149" spans="1:22" ht="16" x14ac:dyDescent="0.2">
      <c r="A149">
        <v>152</v>
      </c>
      <c r="B149" t="s">
        <v>101</v>
      </c>
      <c r="C149">
        <v>1</v>
      </c>
      <c r="D149" t="s">
        <v>102</v>
      </c>
      <c r="E149">
        <v>7</v>
      </c>
      <c r="F149">
        <v>11</v>
      </c>
      <c r="G149">
        <v>4</v>
      </c>
      <c r="H149">
        <v>338000</v>
      </c>
      <c r="I149">
        <v>27040</v>
      </c>
      <c r="J149">
        <v>4447.8784912198998</v>
      </c>
      <c r="K149">
        <v>27040</v>
      </c>
      <c r="L149">
        <v>396527.87849121902</v>
      </c>
      <c r="M149">
        <v>450.666666666666</v>
      </c>
      <c r="N149">
        <v>2027.99999999999</v>
      </c>
      <c r="O149">
        <v>240</v>
      </c>
      <c r="P149">
        <v>200</v>
      </c>
      <c r="Q149">
        <v>2918.6666666666601</v>
      </c>
      <c r="R149">
        <v>3380</v>
      </c>
      <c r="S149">
        <v>4758.3345418946301</v>
      </c>
      <c r="T149">
        <v>10140</v>
      </c>
      <c r="U149">
        <v>11895.836354736501</v>
      </c>
      <c r="V149" s="10">
        <f t="shared" si="7"/>
        <v>58527.878491219017</v>
      </c>
    </row>
    <row r="150" spans="1:22" ht="16" x14ac:dyDescent="0.2">
      <c r="A150">
        <v>153</v>
      </c>
      <c r="B150" t="s">
        <v>101</v>
      </c>
      <c r="C150">
        <v>1</v>
      </c>
      <c r="D150" t="s">
        <v>102</v>
      </c>
      <c r="E150">
        <v>7</v>
      </c>
      <c r="F150">
        <v>11</v>
      </c>
      <c r="G150">
        <v>4</v>
      </c>
      <c r="H150">
        <v>338000</v>
      </c>
      <c r="I150">
        <v>27040</v>
      </c>
      <c r="J150">
        <v>4447.8784912198998</v>
      </c>
      <c r="K150">
        <v>27040</v>
      </c>
      <c r="L150">
        <v>396527.87849121902</v>
      </c>
      <c r="M150">
        <v>450.666666666666</v>
      </c>
      <c r="N150">
        <v>2027.99999999999</v>
      </c>
      <c r="O150">
        <v>240</v>
      </c>
      <c r="P150">
        <v>200</v>
      </c>
      <c r="Q150">
        <v>2918.6666666666601</v>
      </c>
      <c r="R150">
        <v>3380</v>
      </c>
      <c r="S150">
        <v>4758.3345418946301</v>
      </c>
      <c r="T150">
        <v>10140</v>
      </c>
      <c r="U150">
        <v>11895.836354736501</v>
      </c>
      <c r="V150" s="10">
        <f t="shared" si="7"/>
        <v>58527.878491219017</v>
      </c>
    </row>
    <row r="151" spans="1:22" ht="16" x14ac:dyDescent="0.2">
      <c r="A151">
        <v>154</v>
      </c>
      <c r="B151" t="s">
        <v>101</v>
      </c>
      <c r="C151">
        <v>1</v>
      </c>
      <c r="D151" t="s">
        <v>102</v>
      </c>
      <c r="E151">
        <v>7</v>
      </c>
      <c r="F151">
        <v>11</v>
      </c>
      <c r="G151">
        <v>4</v>
      </c>
      <c r="H151">
        <v>338000</v>
      </c>
      <c r="I151">
        <v>27040</v>
      </c>
      <c r="J151">
        <v>4447.8784912198998</v>
      </c>
      <c r="K151">
        <v>27040</v>
      </c>
      <c r="L151">
        <v>396527.87849121902</v>
      </c>
      <c r="M151">
        <v>450.666666666666</v>
      </c>
      <c r="N151">
        <v>2027.99999999999</v>
      </c>
      <c r="O151">
        <v>240</v>
      </c>
      <c r="P151">
        <v>200</v>
      </c>
      <c r="Q151">
        <v>2918.6666666666601</v>
      </c>
      <c r="R151">
        <v>3380</v>
      </c>
      <c r="S151">
        <v>4758.3345418946301</v>
      </c>
      <c r="T151">
        <v>10140</v>
      </c>
      <c r="U151">
        <v>11895.836354736501</v>
      </c>
      <c r="V151" s="10">
        <f t="shared" si="7"/>
        <v>58527.878491219017</v>
      </c>
    </row>
    <row r="152" spans="1:22" ht="16" x14ac:dyDescent="0.2">
      <c r="A152">
        <v>158</v>
      </c>
      <c r="B152" t="s">
        <v>101</v>
      </c>
      <c r="C152">
        <v>1</v>
      </c>
      <c r="D152" t="s">
        <v>102</v>
      </c>
      <c r="E152">
        <v>7</v>
      </c>
      <c r="F152">
        <v>11</v>
      </c>
      <c r="G152">
        <v>4</v>
      </c>
      <c r="H152">
        <v>338000</v>
      </c>
      <c r="I152">
        <v>27040</v>
      </c>
      <c r="J152">
        <v>4447.8784912198998</v>
      </c>
      <c r="K152">
        <v>27040</v>
      </c>
      <c r="L152">
        <v>396527.87849121902</v>
      </c>
      <c r="M152">
        <v>450.666666666666</v>
      </c>
      <c r="N152">
        <v>2027.99999999999</v>
      </c>
      <c r="O152">
        <v>240</v>
      </c>
      <c r="P152">
        <v>200</v>
      </c>
      <c r="Q152">
        <v>2918.6666666666601</v>
      </c>
      <c r="R152">
        <v>3380</v>
      </c>
      <c r="S152">
        <v>4758.3345418946301</v>
      </c>
      <c r="T152">
        <v>10140</v>
      </c>
      <c r="U152">
        <v>11895.836354736501</v>
      </c>
      <c r="V152" s="10">
        <f t="shared" si="7"/>
        <v>58527.878491219017</v>
      </c>
    </row>
    <row r="153" spans="1:22" ht="16" x14ac:dyDescent="0.2">
      <c r="A153">
        <v>160</v>
      </c>
      <c r="B153" t="s">
        <v>101</v>
      </c>
      <c r="C153">
        <v>1</v>
      </c>
      <c r="D153" t="s">
        <v>103</v>
      </c>
      <c r="E153">
        <v>7</v>
      </c>
      <c r="F153">
        <v>11</v>
      </c>
      <c r="G153">
        <v>4</v>
      </c>
      <c r="H153">
        <v>443000</v>
      </c>
      <c r="I153">
        <v>26580</v>
      </c>
      <c r="J153">
        <v>6547.7445023945402</v>
      </c>
      <c r="K153">
        <v>26580</v>
      </c>
      <c r="L153">
        <v>502707.74450239399</v>
      </c>
      <c r="M153">
        <v>590.66666666666595</v>
      </c>
      <c r="N153">
        <v>2657.99999999999</v>
      </c>
      <c r="O153">
        <v>240</v>
      </c>
      <c r="P153">
        <v>200</v>
      </c>
      <c r="Q153">
        <v>3688.6666666666601</v>
      </c>
      <c r="R153">
        <v>4430</v>
      </c>
      <c r="S153">
        <v>6032.4929340287299</v>
      </c>
      <c r="T153">
        <v>13290</v>
      </c>
      <c r="U153">
        <v>15081.2323350718</v>
      </c>
      <c r="V153" s="10">
        <f t="shared" si="7"/>
        <v>59707.744502393994</v>
      </c>
    </row>
    <row r="154" spans="1:22" ht="16" x14ac:dyDescent="0.2">
      <c r="A154">
        <v>162</v>
      </c>
      <c r="B154" t="s">
        <v>101</v>
      </c>
      <c r="C154">
        <v>1</v>
      </c>
      <c r="D154" t="s">
        <v>103</v>
      </c>
      <c r="E154">
        <v>7</v>
      </c>
      <c r="F154">
        <v>11</v>
      </c>
      <c r="G154">
        <v>4</v>
      </c>
      <c r="H154">
        <v>443000</v>
      </c>
      <c r="I154">
        <v>26580</v>
      </c>
      <c r="J154">
        <v>6547.7445023945402</v>
      </c>
      <c r="K154">
        <v>26580</v>
      </c>
      <c r="L154">
        <v>502707.74450239399</v>
      </c>
      <c r="M154">
        <v>590.66666666666595</v>
      </c>
      <c r="N154">
        <v>2657.99999999999</v>
      </c>
      <c r="O154">
        <v>240</v>
      </c>
      <c r="P154">
        <v>200</v>
      </c>
      <c r="Q154">
        <v>3688.6666666666601</v>
      </c>
      <c r="R154">
        <v>4430</v>
      </c>
      <c r="S154">
        <v>6032.4929340287299</v>
      </c>
      <c r="T154">
        <v>13290</v>
      </c>
      <c r="U154">
        <v>15081.2323350718</v>
      </c>
      <c r="V154" s="10">
        <f t="shared" si="7"/>
        <v>59707.744502393994</v>
      </c>
    </row>
    <row r="155" spans="1:22" ht="16" x14ac:dyDescent="0.2">
      <c r="A155">
        <v>166</v>
      </c>
      <c r="B155" t="s">
        <v>101</v>
      </c>
      <c r="C155">
        <v>1</v>
      </c>
      <c r="D155" t="s">
        <v>103</v>
      </c>
      <c r="E155">
        <v>7</v>
      </c>
      <c r="F155">
        <v>11</v>
      </c>
      <c r="G155">
        <v>4</v>
      </c>
      <c r="H155">
        <v>443000</v>
      </c>
      <c r="I155">
        <v>26580</v>
      </c>
      <c r="J155">
        <v>6547.7445023945402</v>
      </c>
      <c r="K155">
        <v>26580</v>
      </c>
      <c r="L155">
        <v>502707.74450239399</v>
      </c>
      <c r="M155">
        <v>590.66666666666595</v>
      </c>
      <c r="N155">
        <v>2657.99999999999</v>
      </c>
      <c r="O155">
        <v>240</v>
      </c>
      <c r="P155">
        <v>200</v>
      </c>
      <c r="Q155">
        <v>3688.6666666666601</v>
      </c>
      <c r="R155">
        <v>4430</v>
      </c>
      <c r="S155">
        <v>6032.4929340287299</v>
      </c>
      <c r="T155">
        <v>13290</v>
      </c>
      <c r="U155">
        <v>15081.2323350718</v>
      </c>
      <c r="V155" s="10">
        <f t="shared" si="7"/>
        <v>59707.744502393994</v>
      </c>
    </row>
    <row r="156" spans="1:22" ht="16" x14ac:dyDescent="0.2">
      <c r="A156">
        <v>167</v>
      </c>
      <c r="B156" t="s">
        <v>101</v>
      </c>
      <c r="C156">
        <v>1</v>
      </c>
      <c r="D156" t="s">
        <v>103</v>
      </c>
      <c r="E156">
        <v>7</v>
      </c>
      <c r="F156">
        <v>11</v>
      </c>
      <c r="G156">
        <v>4</v>
      </c>
      <c r="H156">
        <v>443000</v>
      </c>
      <c r="I156">
        <v>26580</v>
      </c>
      <c r="J156">
        <v>6547.7445023945402</v>
      </c>
      <c r="K156">
        <v>26580</v>
      </c>
      <c r="L156">
        <v>502707.74450239399</v>
      </c>
      <c r="M156">
        <v>590.66666666666595</v>
      </c>
      <c r="N156">
        <v>2657.99999999999</v>
      </c>
      <c r="O156">
        <v>240</v>
      </c>
      <c r="P156">
        <v>200</v>
      </c>
      <c r="Q156">
        <v>3688.6666666666601</v>
      </c>
      <c r="R156">
        <v>4430</v>
      </c>
      <c r="S156">
        <v>6032.4929340287299</v>
      </c>
      <c r="T156">
        <v>13290</v>
      </c>
      <c r="U156">
        <v>15081.2323350718</v>
      </c>
      <c r="V156" s="10">
        <f t="shared" si="7"/>
        <v>59707.744502393994</v>
      </c>
    </row>
    <row r="157" spans="1:22" ht="16" x14ac:dyDescent="0.2">
      <c r="A157">
        <v>170</v>
      </c>
      <c r="B157" t="s">
        <v>101</v>
      </c>
      <c r="C157">
        <v>1</v>
      </c>
      <c r="D157" t="s">
        <v>103</v>
      </c>
      <c r="E157">
        <v>7</v>
      </c>
      <c r="F157">
        <v>11</v>
      </c>
      <c r="G157">
        <v>4</v>
      </c>
      <c r="H157">
        <v>443000</v>
      </c>
      <c r="I157">
        <v>26580</v>
      </c>
      <c r="J157">
        <v>6547.7445023945402</v>
      </c>
      <c r="K157">
        <v>26580</v>
      </c>
      <c r="L157">
        <v>502707.74450239399</v>
      </c>
      <c r="M157">
        <v>590.66666666666595</v>
      </c>
      <c r="N157">
        <v>2657.99999999999</v>
      </c>
      <c r="O157">
        <v>240</v>
      </c>
      <c r="P157">
        <v>200</v>
      </c>
      <c r="Q157">
        <v>3688.6666666666601</v>
      </c>
      <c r="R157">
        <v>4430</v>
      </c>
      <c r="S157">
        <v>6032.4929340287299</v>
      </c>
      <c r="T157">
        <v>13290</v>
      </c>
      <c r="U157">
        <v>15081.2323350718</v>
      </c>
      <c r="V157" s="10">
        <f t="shared" si="7"/>
        <v>59707.744502393994</v>
      </c>
    </row>
    <row r="158" spans="1:22" ht="16" x14ac:dyDescent="0.2">
      <c r="A158">
        <v>171</v>
      </c>
      <c r="B158" t="s">
        <v>101</v>
      </c>
      <c r="C158">
        <v>1</v>
      </c>
      <c r="D158" t="s">
        <v>103</v>
      </c>
      <c r="E158">
        <v>7</v>
      </c>
      <c r="F158">
        <v>11</v>
      </c>
      <c r="G158">
        <v>4</v>
      </c>
      <c r="H158">
        <v>443000</v>
      </c>
      <c r="I158">
        <v>26580</v>
      </c>
      <c r="J158">
        <v>6547.7445023945402</v>
      </c>
      <c r="K158">
        <v>26580</v>
      </c>
      <c r="L158">
        <v>502707.74450239399</v>
      </c>
      <c r="M158">
        <v>590.66666666666595</v>
      </c>
      <c r="N158">
        <v>2657.99999999999</v>
      </c>
      <c r="O158">
        <v>240</v>
      </c>
      <c r="P158">
        <v>200</v>
      </c>
      <c r="Q158">
        <v>3688.6666666666601</v>
      </c>
      <c r="R158">
        <v>4430</v>
      </c>
      <c r="S158">
        <v>6032.4929340287299</v>
      </c>
      <c r="T158">
        <v>13290</v>
      </c>
      <c r="U158">
        <v>15081.2323350718</v>
      </c>
      <c r="V158" s="10">
        <f t="shared" si="7"/>
        <v>59707.744502393994</v>
      </c>
    </row>
    <row r="159" spans="1:22" ht="16" x14ac:dyDescent="0.2">
      <c r="A159">
        <v>173</v>
      </c>
      <c r="B159" t="s">
        <v>101</v>
      </c>
      <c r="C159">
        <v>1</v>
      </c>
      <c r="D159" t="s">
        <v>103</v>
      </c>
      <c r="E159">
        <v>7</v>
      </c>
      <c r="F159">
        <v>11</v>
      </c>
      <c r="G159">
        <v>4</v>
      </c>
      <c r="H159">
        <v>443000</v>
      </c>
      <c r="I159">
        <v>26580</v>
      </c>
      <c r="J159">
        <v>6547.7445023945402</v>
      </c>
      <c r="K159">
        <v>26580</v>
      </c>
      <c r="L159">
        <v>502707.74450239399</v>
      </c>
      <c r="M159">
        <v>590.66666666666595</v>
      </c>
      <c r="N159">
        <v>2657.99999999999</v>
      </c>
      <c r="O159">
        <v>240</v>
      </c>
      <c r="P159">
        <v>200</v>
      </c>
      <c r="Q159">
        <v>3688.6666666666601</v>
      </c>
      <c r="R159">
        <v>4430</v>
      </c>
      <c r="S159">
        <v>6032.4929340287299</v>
      </c>
      <c r="T159">
        <v>13290</v>
      </c>
      <c r="U159">
        <v>15081.2323350718</v>
      </c>
      <c r="V159" s="10">
        <f t="shared" si="7"/>
        <v>59707.744502393994</v>
      </c>
    </row>
    <row r="160" spans="1:22" ht="16" x14ac:dyDescent="0.2">
      <c r="A160">
        <v>175</v>
      </c>
      <c r="B160" t="s">
        <v>101</v>
      </c>
      <c r="C160">
        <v>1</v>
      </c>
      <c r="D160" t="s">
        <v>103</v>
      </c>
      <c r="E160">
        <v>7</v>
      </c>
      <c r="F160">
        <v>11</v>
      </c>
      <c r="G160">
        <v>4</v>
      </c>
      <c r="H160">
        <v>443000</v>
      </c>
      <c r="I160">
        <v>26580</v>
      </c>
      <c r="J160">
        <v>6547.7445023945402</v>
      </c>
      <c r="K160">
        <v>26580</v>
      </c>
      <c r="L160">
        <v>502707.74450239399</v>
      </c>
      <c r="M160">
        <v>590.66666666666595</v>
      </c>
      <c r="N160">
        <v>2657.99999999999</v>
      </c>
      <c r="O160">
        <v>240</v>
      </c>
      <c r="P160">
        <v>200</v>
      </c>
      <c r="Q160">
        <v>3688.6666666666601</v>
      </c>
      <c r="R160">
        <v>4430</v>
      </c>
      <c r="S160">
        <v>6032.4929340287299</v>
      </c>
      <c r="T160">
        <v>13290</v>
      </c>
      <c r="U160">
        <v>15081.2323350718</v>
      </c>
      <c r="V160" s="10">
        <f t="shared" si="7"/>
        <v>59707.744502393994</v>
      </c>
    </row>
    <row r="161" spans="1:22" ht="16" x14ac:dyDescent="0.2">
      <c r="A161">
        <v>176</v>
      </c>
      <c r="B161" t="s">
        <v>101</v>
      </c>
      <c r="C161">
        <v>1</v>
      </c>
      <c r="D161" t="s">
        <v>103</v>
      </c>
      <c r="E161">
        <v>7</v>
      </c>
      <c r="F161">
        <v>11</v>
      </c>
      <c r="G161">
        <v>4</v>
      </c>
      <c r="H161">
        <v>443000</v>
      </c>
      <c r="I161">
        <v>26580</v>
      </c>
      <c r="J161">
        <v>6547.7445023945402</v>
      </c>
      <c r="K161">
        <v>26580</v>
      </c>
      <c r="L161">
        <v>502707.74450239399</v>
      </c>
      <c r="M161">
        <v>590.66666666666595</v>
      </c>
      <c r="N161">
        <v>2657.99999999999</v>
      </c>
      <c r="O161">
        <v>240</v>
      </c>
      <c r="P161">
        <v>200</v>
      </c>
      <c r="Q161">
        <v>3688.6666666666601</v>
      </c>
      <c r="R161">
        <v>4430</v>
      </c>
      <c r="S161">
        <v>6032.4929340287299</v>
      </c>
      <c r="T161">
        <v>13290</v>
      </c>
      <c r="U161">
        <v>15081.2323350718</v>
      </c>
      <c r="V161" s="10">
        <f t="shared" si="7"/>
        <v>59707.744502393994</v>
      </c>
    </row>
    <row r="162" spans="1:22" ht="16" x14ac:dyDescent="0.2">
      <c r="A162">
        <v>177</v>
      </c>
      <c r="B162" t="s">
        <v>101</v>
      </c>
      <c r="C162">
        <v>1</v>
      </c>
      <c r="D162" t="s">
        <v>103</v>
      </c>
      <c r="E162">
        <v>7</v>
      </c>
      <c r="F162">
        <v>11</v>
      </c>
      <c r="G162">
        <v>4</v>
      </c>
      <c r="H162">
        <v>443000</v>
      </c>
      <c r="I162">
        <v>26580</v>
      </c>
      <c r="J162">
        <v>6547.7445023945402</v>
      </c>
      <c r="K162">
        <v>26580</v>
      </c>
      <c r="L162">
        <v>502707.74450239399</v>
      </c>
      <c r="M162">
        <v>590.66666666666595</v>
      </c>
      <c r="N162">
        <v>2657.99999999999</v>
      </c>
      <c r="O162">
        <v>240</v>
      </c>
      <c r="P162">
        <v>200</v>
      </c>
      <c r="Q162">
        <v>3688.6666666666601</v>
      </c>
      <c r="R162">
        <v>4430</v>
      </c>
      <c r="S162">
        <v>6032.4929340287299</v>
      </c>
      <c r="T162">
        <v>13290</v>
      </c>
      <c r="U162">
        <v>15081.2323350718</v>
      </c>
      <c r="V162" s="10">
        <f t="shared" si="7"/>
        <v>59707.744502393994</v>
      </c>
    </row>
    <row r="163" spans="1:22" ht="16" x14ac:dyDescent="0.2">
      <c r="A163">
        <v>188</v>
      </c>
      <c r="B163" t="s">
        <v>101</v>
      </c>
      <c r="C163">
        <v>1</v>
      </c>
      <c r="D163" t="s">
        <v>102</v>
      </c>
      <c r="E163">
        <v>8</v>
      </c>
      <c r="F163">
        <v>11</v>
      </c>
      <c r="G163">
        <v>3</v>
      </c>
      <c r="H163">
        <v>338000</v>
      </c>
      <c r="I163">
        <v>27040</v>
      </c>
      <c r="J163">
        <v>3330.4514135514601</v>
      </c>
      <c r="K163">
        <v>27040</v>
      </c>
      <c r="L163">
        <v>395410.451413551</v>
      </c>
      <c r="M163">
        <v>338</v>
      </c>
      <c r="N163">
        <v>1520.99999999999</v>
      </c>
      <c r="O163">
        <v>180</v>
      </c>
      <c r="P163">
        <v>150</v>
      </c>
      <c r="Q163">
        <v>2189</v>
      </c>
      <c r="R163">
        <v>3380</v>
      </c>
      <c r="S163">
        <v>4744.9254169626101</v>
      </c>
      <c r="T163">
        <v>10140</v>
      </c>
      <c r="U163">
        <v>11862.3135424065</v>
      </c>
      <c r="V163" s="10">
        <f t="shared" si="7"/>
        <v>57410.451413550996</v>
      </c>
    </row>
    <row r="164" spans="1:22" ht="16" x14ac:dyDescent="0.2">
      <c r="A164">
        <v>190</v>
      </c>
      <c r="B164" t="s">
        <v>101</v>
      </c>
      <c r="C164">
        <v>1</v>
      </c>
      <c r="D164" t="s">
        <v>102</v>
      </c>
      <c r="E164">
        <v>8</v>
      </c>
      <c r="F164">
        <v>11</v>
      </c>
      <c r="G164">
        <v>3</v>
      </c>
      <c r="H164">
        <v>338000</v>
      </c>
      <c r="I164">
        <v>27040</v>
      </c>
      <c r="J164">
        <v>3330.4514135514601</v>
      </c>
      <c r="K164">
        <v>27040</v>
      </c>
      <c r="L164">
        <v>395410.451413551</v>
      </c>
      <c r="M164">
        <v>338</v>
      </c>
      <c r="N164">
        <v>1520.99999999999</v>
      </c>
      <c r="O164">
        <v>180</v>
      </c>
      <c r="P164">
        <v>150</v>
      </c>
      <c r="Q164">
        <v>2189</v>
      </c>
      <c r="R164">
        <v>3380</v>
      </c>
      <c r="S164">
        <v>4744.9254169626101</v>
      </c>
      <c r="T164">
        <v>10140</v>
      </c>
      <c r="U164">
        <v>11862.3135424065</v>
      </c>
      <c r="V164" s="10">
        <f t="shared" si="7"/>
        <v>57410.451413550996</v>
      </c>
    </row>
    <row r="165" spans="1:22" ht="16" x14ac:dyDescent="0.2">
      <c r="A165">
        <v>191</v>
      </c>
      <c r="B165" t="s">
        <v>101</v>
      </c>
      <c r="C165">
        <v>1</v>
      </c>
      <c r="D165" t="s">
        <v>102</v>
      </c>
      <c r="E165">
        <v>8</v>
      </c>
      <c r="F165">
        <v>11</v>
      </c>
      <c r="G165">
        <v>3</v>
      </c>
      <c r="H165">
        <v>338000</v>
      </c>
      <c r="I165">
        <v>27040</v>
      </c>
      <c r="J165">
        <v>3330.4514135514601</v>
      </c>
      <c r="K165">
        <v>27040</v>
      </c>
      <c r="L165">
        <v>395410.451413551</v>
      </c>
      <c r="M165">
        <v>338</v>
      </c>
      <c r="N165">
        <v>1520.99999999999</v>
      </c>
      <c r="O165">
        <v>180</v>
      </c>
      <c r="P165">
        <v>150</v>
      </c>
      <c r="Q165">
        <v>2189</v>
      </c>
      <c r="R165">
        <v>3380</v>
      </c>
      <c r="S165">
        <v>4744.9254169626101</v>
      </c>
      <c r="T165">
        <v>10140</v>
      </c>
      <c r="U165">
        <v>11862.3135424065</v>
      </c>
      <c r="V165" s="10">
        <f t="shared" si="7"/>
        <v>57410.451413550996</v>
      </c>
    </row>
    <row r="166" spans="1:22" ht="16" x14ac:dyDescent="0.2">
      <c r="A166">
        <v>193</v>
      </c>
      <c r="B166" t="s">
        <v>101</v>
      </c>
      <c r="C166">
        <v>1</v>
      </c>
      <c r="D166" t="s">
        <v>102</v>
      </c>
      <c r="E166">
        <v>8</v>
      </c>
      <c r="F166">
        <v>11</v>
      </c>
      <c r="G166">
        <v>3</v>
      </c>
      <c r="H166">
        <v>338000</v>
      </c>
      <c r="I166">
        <v>27040</v>
      </c>
      <c r="J166">
        <v>3330.4514135514601</v>
      </c>
      <c r="K166">
        <v>27040</v>
      </c>
      <c r="L166">
        <v>395410.451413551</v>
      </c>
      <c r="M166">
        <v>338</v>
      </c>
      <c r="N166">
        <v>1520.99999999999</v>
      </c>
      <c r="O166">
        <v>180</v>
      </c>
      <c r="P166">
        <v>150</v>
      </c>
      <c r="Q166">
        <v>2189</v>
      </c>
      <c r="R166">
        <v>3380</v>
      </c>
      <c r="S166">
        <v>4744.9254169626101</v>
      </c>
      <c r="T166">
        <v>10140</v>
      </c>
      <c r="U166">
        <v>11862.3135424065</v>
      </c>
      <c r="V166" s="10">
        <f t="shared" si="7"/>
        <v>57410.451413550996</v>
      </c>
    </row>
    <row r="167" spans="1:22" ht="16" x14ac:dyDescent="0.2">
      <c r="A167">
        <v>194</v>
      </c>
      <c r="B167" t="s">
        <v>101</v>
      </c>
      <c r="C167">
        <v>1</v>
      </c>
      <c r="D167" t="s">
        <v>102</v>
      </c>
      <c r="E167">
        <v>8</v>
      </c>
      <c r="F167">
        <v>11</v>
      </c>
      <c r="G167">
        <v>3</v>
      </c>
      <c r="H167">
        <v>338000</v>
      </c>
      <c r="I167">
        <v>27040</v>
      </c>
      <c r="J167">
        <v>3330.4514135514601</v>
      </c>
      <c r="K167">
        <v>27040</v>
      </c>
      <c r="L167">
        <v>395410.451413551</v>
      </c>
      <c r="M167">
        <v>338</v>
      </c>
      <c r="N167">
        <v>1520.99999999999</v>
      </c>
      <c r="O167">
        <v>180</v>
      </c>
      <c r="P167">
        <v>150</v>
      </c>
      <c r="Q167">
        <v>2189</v>
      </c>
      <c r="R167">
        <v>3380</v>
      </c>
      <c r="S167">
        <v>4744.9254169626101</v>
      </c>
      <c r="T167">
        <v>10140</v>
      </c>
      <c r="U167">
        <v>11862.3135424065</v>
      </c>
      <c r="V167" s="10">
        <f t="shared" si="7"/>
        <v>57410.451413550996</v>
      </c>
    </row>
    <row r="168" spans="1:22" ht="16" x14ac:dyDescent="0.2">
      <c r="A168">
        <v>197</v>
      </c>
      <c r="B168" t="s">
        <v>101</v>
      </c>
      <c r="C168">
        <v>1</v>
      </c>
      <c r="D168" t="s">
        <v>102</v>
      </c>
      <c r="E168">
        <v>8</v>
      </c>
      <c r="F168">
        <v>11</v>
      </c>
      <c r="G168">
        <v>3</v>
      </c>
      <c r="H168">
        <v>338000</v>
      </c>
      <c r="I168">
        <v>27040</v>
      </c>
      <c r="J168">
        <v>3330.4514135514601</v>
      </c>
      <c r="K168">
        <v>27040</v>
      </c>
      <c r="L168">
        <v>395410.451413551</v>
      </c>
      <c r="M168">
        <v>338</v>
      </c>
      <c r="N168">
        <v>1520.99999999999</v>
      </c>
      <c r="O168">
        <v>180</v>
      </c>
      <c r="P168">
        <v>150</v>
      </c>
      <c r="Q168">
        <v>2189</v>
      </c>
      <c r="R168">
        <v>3380</v>
      </c>
      <c r="S168">
        <v>4744.9254169626101</v>
      </c>
      <c r="T168">
        <v>10140</v>
      </c>
      <c r="U168">
        <v>11862.3135424065</v>
      </c>
      <c r="V168" s="10">
        <f t="shared" si="7"/>
        <v>57410.451413550996</v>
      </c>
    </row>
    <row r="169" spans="1:22" ht="16" x14ac:dyDescent="0.2">
      <c r="V169" s="11">
        <f>SUM(V121:V168)</f>
        <v>2988036.699409517</v>
      </c>
    </row>
    <row r="170" spans="1:22" ht="16" x14ac:dyDescent="0.2">
      <c r="A170">
        <v>101</v>
      </c>
      <c r="B170" t="s">
        <v>101</v>
      </c>
      <c r="C170">
        <v>1</v>
      </c>
      <c r="D170" t="s">
        <v>104</v>
      </c>
      <c r="E170">
        <v>5</v>
      </c>
      <c r="F170">
        <v>12</v>
      </c>
      <c r="G170">
        <v>7</v>
      </c>
      <c r="H170">
        <v>676000</v>
      </c>
      <c r="I170">
        <v>33800</v>
      </c>
      <c r="J170">
        <v>19515.992356670598</v>
      </c>
      <c r="K170">
        <v>33800</v>
      </c>
      <c r="L170">
        <v>763115.99235666997</v>
      </c>
      <c r="M170">
        <v>1577.3333333333301</v>
      </c>
      <c r="N170">
        <v>7097.99999999999</v>
      </c>
      <c r="O170">
        <v>420</v>
      </c>
      <c r="P170">
        <v>350</v>
      </c>
      <c r="Q170">
        <v>9445.3333333333303</v>
      </c>
      <c r="R170">
        <v>6760</v>
      </c>
      <c r="S170">
        <v>9157.3919082800403</v>
      </c>
      <c r="T170">
        <v>20280</v>
      </c>
      <c r="U170">
        <v>22893.479770700102</v>
      </c>
      <c r="V170" s="10">
        <f t="shared" ref="V170:V194" si="8">L170-H170</f>
        <v>87115.992356669973</v>
      </c>
    </row>
    <row r="171" spans="1:22" ht="16" x14ac:dyDescent="0.2">
      <c r="A171">
        <v>120</v>
      </c>
      <c r="B171" t="s">
        <v>101</v>
      </c>
      <c r="C171">
        <v>1</v>
      </c>
      <c r="D171" t="s">
        <v>103</v>
      </c>
      <c r="E171">
        <v>6</v>
      </c>
      <c r="F171">
        <v>12</v>
      </c>
      <c r="G171">
        <v>6</v>
      </c>
      <c r="H171">
        <v>443000</v>
      </c>
      <c r="I171">
        <v>26580</v>
      </c>
      <c r="J171">
        <v>9857.8198507783309</v>
      </c>
      <c r="K171">
        <v>26580</v>
      </c>
      <c r="L171">
        <v>506017.81985077797</v>
      </c>
      <c r="M171">
        <v>886</v>
      </c>
      <c r="N171">
        <v>3986.99999999999</v>
      </c>
      <c r="O171">
        <v>360</v>
      </c>
      <c r="P171">
        <v>300</v>
      </c>
      <c r="Q171">
        <v>5533</v>
      </c>
      <c r="R171">
        <v>4430</v>
      </c>
      <c r="S171">
        <v>6072.2138382093399</v>
      </c>
      <c r="T171">
        <v>13290</v>
      </c>
      <c r="U171">
        <v>15180.534595523301</v>
      </c>
      <c r="V171" s="10">
        <f t="shared" si="8"/>
        <v>63017.819850777974</v>
      </c>
    </row>
    <row r="172" spans="1:22" ht="16" x14ac:dyDescent="0.2">
      <c r="A172">
        <v>124</v>
      </c>
      <c r="B172" t="s">
        <v>101</v>
      </c>
      <c r="C172">
        <v>1</v>
      </c>
      <c r="D172" t="s">
        <v>103</v>
      </c>
      <c r="E172">
        <v>6</v>
      </c>
      <c r="F172">
        <v>12</v>
      </c>
      <c r="G172">
        <v>6</v>
      </c>
      <c r="H172">
        <v>443000</v>
      </c>
      <c r="I172">
        <v>26580</v>
      </c>
      <c r="J172">
        <v>9857.8198507783309</v>
      </c>
      <c r="K172">
        <v>26580</v>
      </c>
      <c r="L172">
        <v>506017.81985077797</v>
      </c>
      <c r="M172">
        <v>886</v>
      </c>
      <c r="N172">
        <v>3986.99999999999</v>
      </c>
      <c r="O172">
        <v>360</v>
      </c>
      <c r="P172">
        <v>300</v>
      </c>
      <c r="Q172">
        <v>5533</v>
      </c>
      <c r="R172">
        <v>4430</v>
      </c>
      <c r="S172">
        <v>6072.2138382093399</v>
      </c>
      <c r="T172">
        <v>13290</v>
      </c>
      <c r="U172">
        <v>15180.534595523301</v>
      </c>
      <c r="V172" s="10">
        <f t="shared" si="8"/>
        <v>63017.819850777974</v>
      </c>
    </row>
    <row r="173" spans="1:22" ht="16" x14ac:dyDescent="0.2">
      <c r="A173">
        <v>127</v>
      </c>
      <c r="B173" t="s">
        <v>101</v>
      </c>
      <c r="C173">
        <v>1</v>
      </c>
      <c r="D173" t="s">
        <v>103</v>
      </c>
      <c r="E173">
        <v>6</v>
      </c>
      <c r="F173">
        <v>12</v>
      </c>
      <c r="G173">
        <v>6</v>
      </c>
      <c r="H173">
        <v>443000</v>
      </c>
      <c r="I173">
        <v>26580</v>
      </c>
      <c r="J173">
        <v>9857.8198507783309</v>
      </c>
      <c r="K173">
        <v>26580</v>
      </c>
      <c r="L173">
        <v>506017.81985077797</v>
      </c>
      <c r="M173">
        <v>886</v>
      </c>
      <c r="N173">
        <v>3986.99999999999</v>
      </c>
      <c r="O173">
        <v>360</v>
      </c>
      <c r="P173">
        <v>300</v>
      </c>
      <c r="Q173">
        <v>5533</v>
      </c>
      <c r="R173">
        <v>4430</v>
      </c>
      <c r="S173">
        <v>6072.2138382093399</v>
      </c>
      <c r="T173">
        <v>13290</v>
      </c>
      <c r="U173">
        <v>15180.534595523301</v>
      </c>
      <c r="V173" s="10">
        <f t="shared" si="8"/>
        <v>63017.819850777974</v>
      </c>
    </row>
    <row r="174" spans="1:22" ht="16" x14ac:dyDescent="0.2">
      <c r="A174">
        <v>129</v>
      </c>
      <c r="B174" t="s">
        <v>101</v>
      </c>
      <c r="C174">
        <v>1</v>
      </c>
      <c r="D174" t="s">
        <v>103</v>
      </c>
      <c r="E174">
        <v>6</v>
      </c>
      <c r="F174">
        <v>12</v>
      </c>
      <c r="G174">
        <v>6</v>
      </c>
      <c r="H174">
        <v>443000</v>
      </c>
      <c r="I174">
        <v>26580</v>
      </c>
      <c r="J174">
        <v>9857.8198507783309</v>
      </c>
      <c r="K174">
        <v>26580</v>
      </c>
      <c r="L174">
        <v>506017.81985077797</v>
      </c>
      <c r="M174">
        <v>886</v>
      </c>
      <c r="N174">
        <v>3986.99999999999</v>
      </c>
      <c r="O174">
        <v>360</v>
      </c>
      <c r="P174">
        <v>300</v>
      </c>
      <c r="Q174">
        <v>5533</v>
      </c>
      <c r="R174">
        <v>4430</v>
      </c>
      <c r="S174">
        <v>6072.2138382093399</v>
      </c>
      <c r="T174">
        <v>13290</v>
      </c>
      <c r="U174">
        <v>15180.534595523301</v>
      </c>
      <c r="V174" s="10">
        <f t="shared" si="8"/>
        <v>63017.819850777974</v>
      </c>
    </row>
    <row r="175" spans="1:22" ht="16" x14ac:dyDescent="0.2">
      <c r="A175">
        <v>138</v>
      </c>
      <c r="B175" t="s">
        <v>101</v>
      </c>
      <c r="C175">
        <v>1</v>
      </c>
      <c r="D175" t="s">
        <v>103</v>
      </c>
      <c r="E175">
        <v>6</v>
      </c>
      <c r="F175">
        <v>12</v>
      </c>
      <c r="G175">
        <v>6</v>
      </c>
      <c r="H175">
        <v>443000</v>
      </c>
      <c r="I175">
        <v>26580</v>
      </c>
      <c r="J175">
        <v>9857.8198507783309</v>
      </c>
      <c r="K175">
        <v>26580</v>
      </c>
      <c r="L175">
        <v>506017.81985077797</v>
      </c>
      <c r="M175">
        <v>886</v>
      </c>
      <c r="N175">
        <v>3986.99999999999</v>
      </c>
      <c r="O175">
        <v>360</v>
      </c>
      <c r="P175">
        <v>300</v>
      </c>
      <c r="Q175">
        <v>5533</v>
      </c>
      <c r="R175">
        <v>4430</v>
      </c>
      <c r="S175">
        <v>6072.2138382093399</v>
      </c>
      <c r="T175">
        <v>13290</v>
      </c>
      <c r="U175">
        <v>15180.534595523301</v>
      </c>
      <c r="V175" s="10">
        <f t="shared" si="8"/>
        <v>63017.819850777974</v>
      </c>
    </row>
    <row r="176" spans="1:22" ht="16" x14ac:dyDescent="0.2">
      <c r="A176">
        <v>140</v>
      </c>
      <c r="B176" t="s">
        <v>101</v>
      </c>
      <c r="C176">
        <v>1</v>
      </c>
      <c r="D176" t="s">
        <v>104</v>
      </c>
      <c r="E176">
        <v>6</v>
      </c>
      <c r="F176">
        <v>12</v>
      </c>
      <c r="G176">
        <v>6</v>
      </c>
      <c r="H176">
        <v>676000</v>
      </c>
      <c r="I176">
        <v>33800</v>
      </c>
      <c r="J176">
        <v>16693.871778868899</v>
      </c>
      <c r="K176">
        <v>33800</v>
      </c>
      <c r="L176">
        <v>760293.87177886895</v>
      </c>
      <c r="M176">
        <v>1352</v>
      </c>
      <c r="N176">
        <v>6083.99999999999</v>
      </c>
      <c r="O176">
        <v>360</v>
      </c>
      <c r="P176">
        <v>300</v>
      </c>
      <c r="Q176">
        <v>8095.99999999999</v>
      </c>
      <c r="R176">
        <v>6760</v>
      </c>
      <c r="S176">
        <v>9123.5264613464205</v>
      </c>
      <c r="T176">
        <v>20280</v>
      </c>
      <c r="U176">
        <v>22808.816153365999</v>
      </c>
      <c r="V176" s="10">
        <f t="shared" si="8"/>
        <v>84293.871778868954</v>
      </c>
    </row>
    <row r="177" spans="1:22" ht="16" x14ac:dyDescent="0.2">
      <c r="A177">
        <v>142</v>
      </c>
      <c r="B177" t="s">
        <v>101</v>
      </c>
      <c r="C177">
        <v>1</v>
      </c>
      <c r="D177" t="s">
        <v>104</v>
      </c>
      <c r="E177">
        <v>6</v>
      </c>
      <c r="F177">
        <v>12</v>
      </c>
      <c r="G177">
        <v>6</v>
      </c>
      <c r="H177">
        <v>676000</v>
      </c>
      <c r="I177">
        <v>33800</v>
      </c>
      <c r="J177">
        <v>16693.871778868899</v>
      </c>
      <c r="K177">
        <v>33800</v>
      </c>
      <c r="L177">
        <v>760293.87177886895</v>
      </c>
      <c r="M177">
        <v>1352</v>
      </c>
      <c r="N177">
        <v>6083.99999999999</v>
      </c>
      <c r="O177">
        <v>360</v>
      </c>
      <c r="P177">
        <v>300</v>
      </c>
      <c r="Q177">
        <v>8095.99999999999</v>
      </c>
      <c r="R177">
        <v>6760</v>
      </c>
      <c r="S177">
        <v>9123.5264613464205</v>
      </c>
      <c r="T177">
        <v>20280</v>
      </c>
      <c r="U177">
        <v>22808.816153365999</v>
      </c>
      <c r="V177" s="10">
        <f t="shared" si="8"/>
        <v>84293.871778868954</v>
      </c>
    </row>
    <row r="178" spans="1:22" ht="16" x14ac:dyDescent="0.2">
      <c r="A178">
        <v>144</v>
      </c>
      <c r="B178" t="s">
        <v>101</v>
      </c>
      <c r="C178">
        <v>1</v>
      </c>
      <c r="D178" t="s">
        <v>104</v>
      </c>
      <c r="E178">
        <v>6</v>
      </c>
      <c r="F178">
        <v>12</v>
      </c>
      <c r="G178">
        <v>6</v>
      </c>
      <c r="H178">
        <v>676000</v>
      </c>
      <c r="I178">
        <v>33800</v>
      </c>
      <c r="J178">
        <v>16693.871778868899</v>
      </c>
      <c r="K178">
        <v>33800</v>
      </c>
      <c r="L178">
        <v>760293.87177886895</v>
      </c>
      <c r="M178">
        <v>1352</v>
      </c>
      <c r="N178">
        <v>6083.99999999999</v>
      </c>
      <c r="O178">
        <v>360</v>
      </c>
      <c r="P178">
        <v>300</v>
      </c>
      <c r="Q178">
        <v>8095.99999999999</v>
      </c>
      <c r="R178">
        <v>6760</v>
      </c>
      <c r="S178">
        <v>9123.5264613464205</v>
      </c>
      <c r="T178">
        <v>20280</v>
      </c>
      <c r="U178">
        <v>22808.816153365999</v>
      </c>
      <c r="V178" s="10">
        <f t="shared" si="8"/>
        <v>84293.871778868954</v>
      </c>
    </row>
    <row r="179" spans="1:22" ht="16" x14ac:dyDescent="0.2">
      <c r="A179">
        <v>145</v>
      </c>
      <c r="B179" t="s">
        <v>101</v>
      </c>
      <c r="C179">
        <v>1</v>
      </c>
      <c r="D179" t="s">
        <v>104</v>
      </c>
      <c r="E179">
        <v>6</v>
      </c>
      <c r="F179">
        <v>12</v>
      </c>
      <c r="G179">
        <v>6</v>
      </c>
      <c r="H179">
        <v>676000</v>
      </c>
      <c r="I179">
        <v>33800</v>
      </c>
      <c r="J179">
        <v>16693.871778868899</v>
      </c>
      <c r="K179">
        <v>33800</v>
      </c>
      <c r="L179">
        <v>760293.87177886895</v>
      </c>
      <c r="M179">
        <v>1352</v>
      </c>
      <c r="N179">
        <v>6083.99999999999</v>
      </c>
      <c r="O179">
        <v>360</v>
      </c>
      <c r="P179">
        <v>300</v>
      </c>
      <c r="Q179">
        <v>8095.99999999999</v>
      </c>
      <c r="R179">
        <v>6760</v>
      </c>
      <c r="S179">
        <v>9123.5264613464205</v>
      </c>
      <c r="T179">
        <v>20280</v>
      </c>
      <c r="U179">
        <v>22808.816153365999</v>
      </c>
      <c r="V179" s="10">
        <f t="shared" si="8"/>
        <v>84293.871778868954</v>
      </c>
    </row>
    <row r="180" spans="1:22" ht="16" x14ac:dyDescent="0.2">
      <c r="A180">
        <v>149</v>
      </c>
      <c r="B180" t="s">
        <v>101</v>
      </c>
      <c r="C180">
        <v>1</v>
      </c>
      <c r="D180" t="s">
        <v>102</v>
      </c>
      <c r="E180">
        <v>7</v>
      </c>
      <c r="F180">
        <v>12</v>
      </c>
      <c r="G180">
        <v>5</v>
      </c>
      <c r="H180">
        <v>338000</v>
      </c>
      <c r="I180">
        <v>27040</v>
      </c>
      <c r="J180">
        <v>5568.9637343662098</v>
      </c>
      <c r="K180">
        <v>27040</v>
      </c>
      <c r="L180">
        <v>397648.963734366</v>
      </c>
      <c r="M180">
        <v>563.33333333333303</v>
      </c>
      <c r="N180">
        <v>2534.99999999999</v>
      </c>
      <c r="O180">
        <v>300</v>
      </c>
      <c r="P180">
        <v>250</v>
      </c>
      <c r="Q180">
        <v>3648.3333333333298</v>
      </c>
      <c r="R180">
        <v>3380</v>
      </c>
      <c r="S180">
        <v>4771.78756481239</v>
      </c>
      <c r="T180">
        <v>10140</v>
      </c>
      <c r="U180">
        <v>11929.468912030899</v>
      </c>
      <c r="V180" s="10">
        <f t="shared" si="8"/>
        <v>59648.963734366</v>
      </c>
    </row>
    <row r="181" spans="1:22" ht="16" x14ac:dyDescent="0.2">
      <c r="A181">
        <v>151</v>
      </c>
      <c r="B181" t="s">
        <v>101</v>
      </c>
      <c r="C181">
        <v>1</v>
      </c>
      <c r="D181" t="s">
        <v>102</v>
      </c>
      <c r="E181">
        <v>7</v>
      </c>
      <c r="F181">
        <v>12</v>
      </c>
      <c r="G181">
        <v>5</v>
      </c>
      <c r="H181">
        <v>338000</v>
      </c>
      <c r="I181">
        <v>27040</v>
      </c>
      <c r="J181">
        <v>5568.9637343662098</v>
      </c>
      <c r="K181">
        <v>27040</v>
      </c>
      <c r="L181">
        <v>397648.963734366</v>
      </c>
      <c r="M181">
        <v>563.33333333333303</v>
      </c>
      <c r="N181">
        <v>2534.99999999999</v>
      </c>
      <c r="O181">
        <v>300</v>
      </c>
      <c r="P181">
        <v>250</v>
      </c>
      <c r="Q181">
        <v>3648.3333333333298</v>
      </c>
      <c r="R181">
        <v>3380</v>
      </c>
      <c r="S181">
        <v>4771.78756481239</v>
      </c>
      <c r="T181">
        <v>10140</v>
      </c>
      <c r="U181">
        <v>11929.468912030899</v>
      </c>
      <c r="V181" s="10">
        <f t="shared" si="8"/>
        <v>59648.963734366</v>
      </c>
    </row>
    <row r="182" spans="1:22" ht="16" x14ac:dyDescent="0.2">
      <c r="A182">
        <v>156</v>
      </c>
      <c r="B182" t="s">
        <v>101</v>
      </c>
      <c r="C182">
        <v>1</v>
      </c>
      <c r="D182" t="s">
        <v>102</v>
      </c>
      <c r="E182">
        <v>7</v>
      </c>
      <c r="F182">
        <v>12</v>
      </c>
      <c r="G182">
        <v>5</v>
      </c>
      <c r="H182">
        <v>338000</v>
      </c>
      <c r="I182">
        <v>27040</v>
      </c>
      <c r="J182">
        <v>5568.9637343662098</v>
      </c>
      <c r="K182">
        <v>27040</v>
      </c>
      <c r="L182">
        <v>397648.963734366</v>
      </c>
      <c r="M182">
        <v>563.33333333333303</v>
      </c>
      <c r="N182">
        <v>2534.99999999999</v>
      </c>
      <c r="O182">
        <v>300</v>
      </c>
      <c r="P182">
        <v>250</v>
      </c>
      <c r="Q182">
        <v>3648.3333333333298</v>
      </c>
      <c r="R182">
        <v>3380</v>
      </c>
      <c r="S182">
        <v>4771.78756481239</v>
      </c>
      <c r="T182">
        <v>10140</v>
      </c>
      <c r="U182">
        <v>11929.468912030899</v>
      </c>
      <c r="V182" s="10">
        <f t="shared" si="8"/>
        <v>59648.963734366</v>
      </c>
    </row>
    <row r="183" spans="1:22" ht="16" x14ac:dyDescent="0.2">
      <c r="A183">
        <v>161</v>
      </c>
      <c r="B183" t="s">
        <v>101</v>
      </c>
      <c r="C183">
        <v>1</v>
      </c>
      <c r="D183" t="s">
        <v>103</v>
      </c>
      <c r="E183">
        <v>7</v>
      </c>
      <c r="F183">
        <v>12</v>
      </c>
      <c r="G183">
        <v>5</v>
      </c>
      <c r="H183">
        <v>443000</v>
      </c>
      <c r="I183">
        <v>26580</v>
      </c>
      <c r="J183">
        <v>8199.7467798370599</v>
      </c>
      <c r="K183">
        <v>26580</v>
      </c>
      <c r="L183">
        <v>504359.74677983701</v>
      </c>
      <c r="M183">
        <v>738.33333333333303</v>
      </c>
      <c r="N183">
        <v>3322.49999999999</v>
      </c>
      <c r="O183">
        <v>300</v>
      </c>
      <c r="P183">
        <v>250</v>
      </c>
      <c r="Q183">
        <v>4610.8333333333303</v>
      </c>
      <c r="R183">
        <v>4430</v>
      </c>
      <c r="S183">
        <v>6052.3169613580403</v>
      </c>
      <c r="T183">
        <v>13290</v>
      </c>
      <c r="U183">
        <v>15130.7924033951</v>
      </c>
      <c r="V183" s="10">
        <f t="shared" si="8"/>
        <v>61359.746779837005</v>
      </c>
    </row>
    <row r="184" spans="1:22" ht="16" x14ac:dyDescent="0.2">
      <c r="A184">
        <v>168</v>
      </c>
      <c r="B184" t="s">
        <v>101</v>
      </c>
      <c r="C184">
        <v>1</v>
      </c>
      <c r="D184" t="s">
        <v>103</v>
      </c>
      <c r="E184">
        <v>7</v>
      </c>
      <c r="F184">
        <v>12</v>
      </c>
      <c r="G184">
        <v>5</v>
      </c>
      <c r="H184">
        <v>443000</v>
      </c>
      <c r="I184">
        <v>26580</v>
      </c>
      <c r="J184">
        <v>8199.7467798370599</v>
      </c>
      <c r="K184">
        <v>26580</v>
      </c>
      <c r="L184">
        <v>504359.74677983701</v>
      </c>
      <c r="M184">
        <v>738.33333333333303</v>
      </c>
      <c r="N184">
        <v>3322.49999999999</v>
      </c>
      <c r="O184">
        <v>300</v>
      </c>
      <c r="P184">
        <v>250</v>
      </c>
      <c r="Q184">
        <v>4610.8333333333303</v>
      </c>
      <c r="R184">
        <v>4430</v>
      </c>
      <c r="S184">
        <v>6052.3169613580403</v>
      </c>
      <c r="T184">
        <v>13290</v>
      </c>
      <c r="U184">
        <v>15130.7924033951</v>
      </c>
      <c r="V184" s="10">
        <f t="shared" si="8"/>
        <v>61359.746779837005</v>
      </c>
    </row>
    <row r="185" spans="1:22" ht="16" x14ac:dyDescent="0.2">
      <c r="A185">
        <v>183</v>
      </c>
      <c r="B185" t="s">
        <v>101</v>
      </c>
      <c r="C185">
        <v>1</v>
      </c>
      <c r="D185" t="s">
        <v>104</v>
      </c>
      <c r="E185">
        <v>7</v>
      </c>
      <c r="F185">
        <v>12</v>
      </c>
      <c r="G185">
        <v>5</v>
      </c>
      <c r="H185">
        <v>676000</v>
      </c>
      <c r="I185">
        <v>33800</v>
      </c>
      <c r="J185">
        <v>13883.202216778</v>
      </c>
      <c r="K185">
        <v>33800</v>
      </c>
      <c r="L185">
        <v>757483.20221677795</v>
      </c>
      <c r="M185">
        <v>1126.6666666666599</v>
      </c>
      <c r="N185">
        <v>5069.99999999999</v>
      </c>
      <c r="O185">
        <v>300</v>
      </c>
      <c r="P185">
        <v>250</v>
      </c>
      <c r="Q185">
        <v>6746.6666666666597</v>
      </c>
      <c r="R185">
        <v>6760</v>
      </c>
      <c r="S185">
        <v>9089.79842660133</v>
      </c>
      <c r="T185">
        <v>20280</v>
      </c>
      <c r="U185">
        <v>22724.4960665033</v>
      </c>
      <c r="V185" s="10">
        <f t="shared" si="8"/>
        <v>81483.202216777951</v>
      </c>
    </row>
    <row r="186" spans="1:22" ht="16" x14ac:dyDescent="0.2">
      <c r="A186">
        <v>186</v>
      </c>
      <c r="B186" t="s">
        <v>101</v>
      </c>
      <c r="C186">
        <v>1</v>
      </c>
      <c r="D186" t="s">
        <v>102</v>
      </c>
      <c r="E186">
        <v>8</v>
      </c>
      <c r="F186">
        <v>12</v>
      </c>
      <c r="G186">
        <v>4</v>
      </c>
      <c r="H186">
        <v>338000</v>
      </c>
      <c r="I186">
        <v>27040</v>
      </c>
      <c r="J186">
        <v>4447.8784912198998</v>
      </c>
      <c r="K186">
        <v>27040</v>
      </c>
      <c r="L186">
        <v>396527.87849121902</v>
      </c>
      <c r="M186">
        <v>450.666666666666</v>
      </c>
      <c r="N186">
        <v>2027.99999999999</v>
      </c>
      <c r="O186">
        <v>240</v>
      </c>
      <c r="P186">
        <v>200</v>
      </c>
      <c r="Q186">
        <v>2918.6666666666601</v>
      </c>
      <c r="R186">
        <v>3380</v>
      </c>
      <c r="S186">
        <v>4758.3345418946301</v>
      </c>
      <c r="T186">
        <v>10140</v>
      </c>
      <c r="U186">
        <v>11895.836354736501</v>
      </c>
      <c r="V186" s="10">
        <f t="shared" si="8"/>
        <v>58527.878491219017</v>
      </c>
    </row>
    <row r="187" spans="1:22" ht="16" x14ac:dyDescent="0.2">
      <c r="A187">
        <v>189</v>
      </c>
      <c r="B187" t="s">
        <v>101</v>
      </c>
      <c r="C187">
        <v>1</v>
      </c>
      <c r="D187" t="s">
        <v>102</v>
      </c>
      <c r="E187">
        <v>8</v>
      </c>
      <c r="F187">
        <v>12</v>
      </c>
      <c r="G187">
        <v>4</v>
      </c>
      <c r="H187">
        <v>338000</v>
      </c>
      <c r="I187">
        <v>27040</v>
      </c>
      <c r="J187">
        <v>4447.8784912198998</v>
      </c>
      <c r="K187">
        <v>27040</v>
      </c>
      <c r="L187">
        <v>396527.87849121902</v>
      </c>
      <c r="M187">
        <v>450.666666666666</v>
      </c>
      <c r="N187">
        <v>2027.99999999999</v>
      </c>
      <c r="O187">
        <v>240</v>
      </c>
      <c r="P187">
        <v>200</v>
      </c>
      <c r="Q187">
        <v>2918.6666666666601</v>
      </c>
      <c r="R187">
        <v>3380</v>
      </c>
      <c r="S187">
        <v>4758.3345418946301</v>
      </c>
      <c r="T187">
        <v>10140</v>
      </c>
      <c r="U187">
        <v>11895.836354736501</v>
      </c>
      <c r="V187" s="10">
        <f t="shared" si="8"/>
        <v>58527.878491219017</v>
      </c>
    </row>
    <row r="188" spans="1:22" ht="16" x14ac:dyDescent="0.2">
      <c r="A188">
        <v>192</v>
      </c>
      <c r="B188" t="s">
        <v>101</v>
      </c>
      <c r="C188">
        <v>1</v>
      </c>
      <c r="D188" t="s">
        <v>102</v>
      </c>
      <c r="E188">
        <v>8</v>
      </c>
      <c r="F188">
        <v>12</v>
      </c>
      <c r="G188">
        <v>4</v>
      </c>
      <c r="H188">
        <v>338000</v>
      </c>
      <c r="I188">
        <v>27040</v>
      </c>
      <c r="J188">
        <v>4447.8784912198998</v>
      </c>
      <c r="K188">
        <v>27040</v>
      </c>
      <c r="L188">
        <v>396527.87849121902</v>
      </c>
      <c r="M188">
        <v>450.666666666666</v>
      </c>
      <c r="N188">
        <v>2027.99999999999</v>
      </c>
      <c r="O188">
        <v>240</v>
      </c>
      <c r="P188">
        <v>200</v>
      </c>
      <c r="Q188">
        <v>2918.6666666666601</v>
      </c>
      <c r="R188">
        <v>3380</v>
      </c>
      <c r="S188">
        <v>4758.3345418946301</v>
      </c>
      <c r="T188">
        <v>10140</v>
      </c>
      <c r="U188">
        <v>11895.836354736501</v>
      </c>
      <c r="V188" s="10">
        <f t="shared" si="8"/>
        <v>58527.878491219017</v>
      </c>
    </row>
    <row r="189" spans="1:22" ht="16" x14ac:dyDescent="0.2">
      <c r="A189">
        <v>195</v>
      </c>
      <c r="B189" t="s">
        <v>101</v>
      </c>
      <c r="C189">
        <v>1</v>
      </c>
      <c r="D189" t="s">
        <v>102</v>
      </c>
      <c r="E189">
        <v>8</v>
      </c>
      <c r="F189">
        <v>12</v>
      </c>
      <c r="G189">
        <v>4</v>
      </c>
      <c r="H189">
        <v>338000</v>
      </c>
      <c r="I189">
        <v>27040</v>
      </c>
      <c r="J189">
        <v>4447.8784912198998</v>
      </c>
      <c r="K189">
        <v>27040</v>
      </c>
      <c r="L189">
        <v>396527.87849121902</v>
      </c>
      <c r="M189">
        <v>450.666666666666</v>
      </c>
      <c r="N189">
        <v>2027.99999999999</v>
      </c>
      <c r="O189">
        <v>240</v>
      </c>
      <c r="P189">
        <v>200</v>
      </c>
      <c r="Q189">
        <v>2918.6666666666601</v>
      </c>
      <c r="R189">
        <v>3380</v>
      </c>
      <c r="S189">
        <v>4758.3345418946301</v>
      </c>
      <c r="T189">
        <v>10140</v>
      </c>
      <c r="U189">
        <v>11895.836354736501</v>
      </c>
      <c r="V189" s="10">
        <f t="shared" si="8"/>
        <v>58527.878491219017</v>
      </c>
    </row>
    <row r="190" spans="1:22" ht="16" x14ac:dyDescent="0.2">
      <c r="A190">
        <v>198</v>
      </c>
      <c r="B190" t="s">
        <v>101</v>
      </c>
      <c r="C190">
        <v>1</v>
      </c>
      <c r="D190" t="s">
        <v>103</v>
      </c>
      <c r="E190">
        <v>8</v>
      </c>
      <c r="F190">
        <v>12</v>
      </c>
      <c r="G190">
        <v>4</v>
      </c>
      <c r="H190">
        <v>443000</v>
      </c>
      <c r="I190">
        <v>26580</v>
      </c>
      <c r="J190">
        <v>6547.7445023945402</v>
      </c>
      <c r="K190">
        <v>26580</v>
      </c>
      <c r="L190">
        <v>502707.74450239399</v>
      </c>
      <c r="M190">
        <v>590.66666666666595</v>
      </c>
      <c r="N190">
        <v>2657.99999999999</v>
      </c>
      <c r="O190">
        <v>240</v>
      </c>
      <c r="P190">
        <v>200</v>
      </c>
      <c r="Q190">
        <v>3688.6666666666601</v>
      </c>
      <c r="R190">
        <v>4430</v>
      </c>
      <c r="S190">
        <v>6032.4929340287299</v>
      </c>
      <c r="T190">
        <v>13290</v>
      </c>
      <c r="U190">
        <v>15081.2323350718</v>
      </c>
      <c r="V190" s="10">
        <f t="shared" si="8"/>
        <v>59707.744502393994</v>
      </c>
    </row>
    <row r="191" spans="1:22" ht="16" x14ac:dyDescent="0.2">
      <c r="A191">
        <v>200</v>
      </c>
      <c r="B191" t="s">
        <v>101</v>
      </c>
      <c r="C191">
        <v>1</v>
      </c>
      <c r="D191" t="s">
        <v>103</v>
      </c>
      <c r="E191">
        <v>8</v>
      </c>
      <c r="F191">
        <v>12</v>
      </c>
      <c r="G191">
        <v>4</v>
      </c>
      <c r="H191">
        <v>443000</v>
      </c>
      <c r="I191">
        <v>26580</v>
      </c>
      <c r="J191">
        <v>6547.7445023945402</v>
      </c>
      <c r="K191">
        <v>26580</v>
      </c>
      <c r="L191">
        <v>502707.74450239399</v>
      </c>
      <c r="M191">
        <v>590.66666666666595</v>
      </c>
      <c r="N191">
        <v>2657.99999999999</v>
      </c>
      <c r="O191">
        <v>240</v>
      </c>
      <c r="P191">
        <v>200</v>
      </c>
      <c r="Q191">
        <v>3688.6666666666601</v>
      </c>
      <c r="R191">
        <v>4430</v>
      </c>
      <c r="S191">
        <v>6032.4929340287299</v>
      </c>
      <c r="T191">
        <v>13290</v>
      </c>
      <c r="U191">
        <v>15081.2323350718</v>
      </c>
      <c r="V191" s="10">
        <f t="shared" si="8"/>
        <v>59707.744502393994</v>
      </c>
    </row>
    <row r="192" spans="1:22" ht="16" x14ac:dyDescent="0.2">
      <c r="A192">
        <v>205</v>
      </c>
      <c r="B192" t="s">
        <v>101</v>
      </c>
      <c r="C192">
        <v>1</v>
      </c>
      <c r="D192" t="s">
        <v>103</v>
      </c>
      <c r="E192">
        <v>8</v>
      </c>
      <c r="F192">
        <v>12</v>
      </c>
      <c r="G192">
        <v>4</v>
      </c>
      <c r="H192">
        <v>443000</v>
      </c>
      <c r="I192">
        <v>26580</v>
      </c>
      <c r="J192">
        <v>6547.7445023945402</v>
      </c>
      <c r="K192">
        <v>26580</v>
      </c>
      <c r="L192">
        <v>502707.74450239399</v>
      </c>
      <c r="M192">
        <v>590.66666666666595</v>
      </c>
      <c r="N192">
        <v>2657.99999999999</v>
      </c>
      <c r="O192">
        <v>240</v>
      </c>
      <c r="P192">
        <v>200</v>
      </c>
      <c r="Q192">
        <v>3688.6666666666601</v>
      </c>
      <c r="R192">
        <v>4430</v>
      </c>
      <c r="S192">
        <v>6032.4929340287299</v>
      </c>
      <c r="T192">
        <v>13290</v>
      </c>
      <c r="U192">
        <v>15081.2323350718</v>
      </c>
      <c r="V192" s="10">
        <f t="shared" si="8"/>
        <v>59707.744502393994</v>
      </c>
    </row>
    <row r="193" spans="1:22" ht="16" x14ac:dyDescent="0.2">
      <c r="A193">
        <v>207</v>
      </c>
      <c r="B193" t="s">
        <v>101</v>
      </c>
      <c r="C193">
        <v>1</v>
      </c>
      <c r="D193" t="s">
        <v>103</v>
      </c>
      <c r="E193">
        <v>8</v>
      </c>
      <c r="F193">
        <v>12</v>
      </c>
      <c r="G193">
        <v>4</v>
      </c>
      <c r="H193">
        <v>443000</v>
      </c>
      <c r="I193">
        <v>26580</v>
      </c>
      <c r="J193">
        <v>6547.7445023945402</v>
      </c>
      <c r="K193">
        <v>26580</v>
      </c>
      <c r="L193">
        <v>502707.74450239399</v>
      </c>
      <c r="M193">
        <v>590.66666666666595</v>
      </c>
      <c r="N193">
        <v>2657.99999999999</v>
      </c>
      <c r="O193">
        <v>240</v>
      </c>
      <c r="P193">
        <v>200</v>
      </c>
      <c r="Q193">
        <v>3688.6666666666601</v>
      </c>
      <c r="R193">
        <v>4430</v>
      </c>
      <c r="S193">
        <v>6032.4929340287299</v>
      </c>
      <c r="T193">
        <v>13290</v>
      </c>
      <c r="U193">
        <v>15081.2323350718</v>
      </c>
      <c r="V193" s="10">
        <f t="shared" si="8"/>
        <v>59707.744502393994</v>
      </c>
    </row>
    <row r="194" spans="1:22" ht="16" x14ac:dyDescent="0.2">
      <c r="A194">
        <v>208</v>
      </c>
      <c r="B194" t="s">
        <v>101</v>
      </c>
      <c r="C194">
        <v>1</v>
      </c>
      <c r="D194" t="s">
        <v>103</v>
      </c>
      <c r="E194">
        <v>8</v>
      </c>
      <c r="F194">
        <v>12</v>
      </c>
      <c r="G194">
        <v>4</v>
      </c>
      <c r="H194">
        <v>443000</v>
      </c>
      <c r="I194">
        <v>26580</v>
      </c>
      <c r="J194">
        <v>6547.7445023945402</v>
      </c>
      <c r="K194">
        <v>26580</v>
      </c>
      <c r="L194">
        <v>502707.74450239399</v>
      </c>
      <c r="M194">
        <v>590.66666666666595</v>
      </c>
      <c r="N194">
        <v>2657.99999999999</v>
      </c>
      <c r="O194">
        <v>240</v>
      </c>
      <c r="P194">
        <v>200</v>
      </c>
      <c r="Q194">
        <v>3688.6666666666601</v>
      </c>
      <c r="R194">
        <v>4430</v>
      </c>
      <c r="S194">
        <v>6032.4929340287299</v>
      </c>
      <c r="T194">
        <v>13290</v>
      </c>
      <c r="U194">
        <v>15081.2323350718</v>
      </c>
      <c r="V194" s="10">
        <f t="shared" si="8"/>
        <v>59707.744502393994</v>
      </c>
    </row>
    <row r="195" spans="1:22" ht="16" x14ac:dyDescent="0.2">
      <c r="V195" s="11">
        <f>SUM(V170:V194)</f>
        <v>1655180.4021824319</v>
      </c>
    </row>
    <row r="196" spans="1:22" ht="16" x14ac:dyDescent="0.2">
      <c r="A196">
        <v>141</v>
      </c>
      <c r="B196" t="s">
        <v>101</v>
      </c>
      <c r="C196">
        <v>1</v>
      </c>
      <c r="D196" t="s">
        <v>104</v>
      </c>
      <c r="E196">
        <v>6</v>
      </c>
      <c r="F196">
        <v>13</v>
      </c>
      <c r="G196">
        <v>7</v>
      </c>
      <c r="H196">
        <v>676000</v>
      </c>
      <c r="I196">
        <v>33800</v>
      </c>
      <c r="J196">
        <v>19515.992356670598</v>
      </c>
      <c r="K196">
        <v>33800</v>
      </c>
      <c r="L196">
        <v>763115.99235666997</v>
      </c>
      <c r="M196">
        <v>1577.3333333333301</v>
      </c>
      <c r="N196">
        <v>7097.99999999999</v>
      </c>
      <c r="O196">
        <v>420</v>
      </c>
      <c r="P196">
        <v>350</v>
      </c>
      <c r="Q196">
        <v>9445.3333333333303</v>
      </c>
      <c r="R196">
        <v>6760</v>
      </c>
      <c r="S196">
        <v>9157.3919082800403</v>
      </c>
      <c r="T196">
        <v>20280</v>
      </c>
      <c r="U196">
        <v>22893.479770700102</v>
      </c>
      <c r="V196" s="10">
        <f t="shared" ref="V196:V225" si="9">L196-H196</f>
        <v>87115.992356669973</v>
      </c>
    </row>
    <row r="197" spans="1:22" ht="16" x14ac:dyDescent="0.2">
      <c r="A197">
        <v>163</v>
      </c>
      <c r="B197" t="s">
        <v>101</v>
      </c>
      <c r="C197">
        <v>1</v>
      </c>
      <c r="D197" t="s">
        <v>103</v>
      </c>
      <c r="E197">
        <v>7</v>
      </c>
      <c r="F197">
        <v>13</v>
      </c>
      <c r="G197">
        <v>6</v>
      </c>
      <c r="H197">
        <v>443000</v>
      </c>
      <c r="I197">
        <v>26580</v>
      </c>
      <c r="J197">
        <v>9857.8198507783309</v>
      </c>
      <c r="K197">
        <v>26580</v>
      </c>
      <c r="L197">
        <v>506017.81985077797</v>
      </c>
      <c r="M197">
        <v>886</v>
      </c>
      <c r="N197">
        <v>3986.99999999999</v>
      </c>
      <c r="O197">
        <v>360</v>
      </c>
      <c r="P197">
        <v>300</v>
      </c>
      <c r="Q197">
        <v>5533</v>
      </c>
      <c r="R197">
        <v>4430</v>
      </c>
      <c r="S197">
        <v>6072.2138382093399</v>
      </c>
      <c r="T197">
        <v>13290</v>
      </c>
      <c r="U197">
        <v>15180.534595523301</v>
      </c>
      <c r="V197" s="10">
        <f t="shared" si="9"/>
        <v>63017.819850777974</v>
      </c>
    </row>
    <row r="198" spans="1:22" ht="16" x14ac:dyDescent="0.2">
      <c r="A198">
        <v>164</v>
      </c>
      <c r="B198" t="s">
        <v>101</v>
      </c>
      <c r="C198">
        <v>1</v>
      </c>
      <c r="D198" t="s">
        <v>103</v>
      </c>
      <c r="E198">
        <v>7</v>
      </c>
      <c r="F198">
        <v>13</v>
      </c>
      <c r="G198">
        <v>6</v>
      </c>
      <c r="H198">
        <v>443000</v>
      </c>
      <c r="I198">
        <v>26580</v>
      </c>
      <c r="J198">
        <v>9857.8198507783309</v>
      </c>
      <c r="K198">
        <v>26580</v>
      </c>
      <c r="L198">
        <v>506017.81985077797</v>
      </c>
      <c r="M198">
        <v>886</v>
      </c>
      <c r="N198">
        <v>3986.99999999999</v>
      </c>
      <c r="O198">
        <v>360</v>
      </c>
      <c r="P198">
        <v>300</v>
      </c>
      <c r="Q198">
        <v>5533</v>
      </c>
      <c r="R198">
        <v>4430</v>
      </c>
      <c r="S198">
        <v>6072.2138382093399</v>
      </c>
      <c r="T198">
        <v>13290</v>
      </c>
      <c r="U198">
        <v>15180.534595523301</v>
      </c>
      <c r="V198" s="10">
        <f t="shared" si="9"/>
        <v>63017.819850777974</v>
      </c>
    </row>
    <row r="199" spans="1:22" ht="16" x14ac:dyDescent="0.2">
      <c r="A199">
        <v>165</v>
      </c>
      <c r="B199" t="s">
        <v>101</v>
      </c>
      <c r="C199">
        <v>1</v>
      </c>
      <c r="D199" t="s">
        <v>103</v>
      </c>
      <c r="E199">
        <v>7</v>
      </c>
      <c r="F199">
        <v>13</v>
      </c>
      <c r="G199">
        <v>6</v>
      </c>
      <c r="H199">
        <v>443000</v>
      </c>
      <c r="I199">
        <v>26580</v>
      </c>
      <c r="J199">
        <v>9857.8198507783309</v>
      </c>
      <c r="K199">
        <v>26580</v>
      </c>
      <c r="L199">
        <v>506017.81985077797</v>
      </c>
      <c r="M199">
        <v>886</v>
      </c>
      <c r="N199">
        <v>3986.99999999999</v>
      </c>
      <c r="O199">
        <v>360</v>
      </c>
      <c r="P199">
        <v>300</v>
      </c>
      <c r="Q199">
        <v>5533</v>
      </c>
      <c r="R199">
        <v>4430</v>
      </c>
      <c r="S199">
        <v>6072.2138382093399</v>
      </c>
      <c r="T199">
        <v>13290</v>
      </c>
      <c r="U199">
        <v>15180.534595523301</v>
      </c>
      <c r="V199" s="10">
        <f t="shared" si="9"/>
        <v>63017.819850777974</v>
      </c>
    </row>
    <row r="200" spans="1:22" ht="16" x14ac:dyDescent="0.2">
      <c r="A200">
        <v>169</v>
      </c>
      <c r="B200" t="s">
        <v>101</v>
      </c>
      <c r="C200">
        <v>1</v>
      </c>
      <c r="D200" t="s">
        <v>103</v>
      </c>
      <c r="E200">
        <v>7</v>
      </c>
      <c r="F200">
        <v>13</v>
      </c>
      <c r="G200">
        <v>6</v>
      </c>
      <c r="H200">
        <v>443000</v>
      </c>
      <c r="I200">
        <v>26580</v>
      </c>
      <c r="J200">
        <v>9857.8198507783309</v>
      </c>
      <c r="K200">
        <v>26580</v>
      </c>
      <c r="L200">
        <v>506017.81985077797</v>
      </c>
      <c r="M200">
        <v>886</v>
      </c>
      <c r="N200">
        <v>3986.99999999999</v>
      </c>
      <c r="O200">
        <v>360</v>
      </c>
      <c r="P200">
        <v>300</v>
      </c>
      <c r="Q200">
        <v>5533</v>
      </c>
      <c r="R200">
        <v>4430</v>
      </c>
      <c r="S200">
        <v>6072.2138382093399</v>
      </c>
      <c r="T200">
        <v>13290</v>
      </c>
      <c r="U200">
        <v>15180.534595523301</v>
      </c>
      <c r="V200" s="10">
        <f t="shared" si="9"/>
        <v>63017.819850777974</v>
      </c>
    </row>
    <row r="201" spans="1:22" ht="16" x14ac:dyDescent="0.2">
      <c r="A201">
        <v>172</v>
      </c>
      <c r="B201" t="s">
        <v>101</v>
      </c>
      <c r="C201">
        <v>1</v>
      </c>
      <c r="D201" t="s">
        <v>103</v>
      </c>
      <c r="E201">
        <v>7</v>
      </c>
      <c r="F201">
        <v>13</v>
      </c>
      <c r="G201">
        <v>6</v>
      </c>
      <c r="H201">
        <v>443000</v>
      </c>
      <c r="I201">
        <v>26580</v>
      </c>
      <c r="J201">
        <v>9857.8198507783309</v>
      </c>
      <c r="K201">
        <v>26580</v>
      </c>
      <c r="L201">
        <v>506017.81985077797</v>
      </c>
      <c r="M201">
        <v>886</v>
      </c>
      <c r="N201">
        <v>3986.99999999999</v>
      </c>
      <c r="O201">
        <v>360</v>
      </c>
      <c r="P201">
        <v>300</v>
      </c>
      <c r="Q201">
        <v>5533</v>
      </c>
      <c r="R201">
        <v>4430</v>
      </c>
      <c r="S201">
        <v>6072.2138382093399</v>
      </c>
      <c r="T201">
        <v>13290</v>
      </c>
      <c r="U201">
        <v>15180.534595523301</v>
      </c>
      <c r="V201" s="10">
        <f t="shared" si="9"/>
        <v>63017.819850777974</v>
      </c>
    </row>
    <row r="202" spans="1:22" ht="16" x14ac:dyDescent="0.2">
      <c r="A202">
        <v>174</v>
      </c>
      <c r="B202" t="s">
        <v>101</v>
      </c>
      <c r="C202">
        <v>1</v>
      </c>
      <c r="D202" t="s">
        <v>103</v>
      </c>
      <c r="E202">
        <v>7</v>
      </c>
      <c r="F202">
        <v>13</v>
      </c>
      <c r="G202">
        <v>6</v>
      </c>
      <c r="H202">
        <v>443000</v>
      </c>
      <c r="I202">
        <v>26580</v>
      </c>
      <c r="J202">
        <v>9857.8198507783309</v>
      </c>
      <c r="K202">
        <v>26580</v>
      </c>
      <c r="L202">
        <v>506017.81985077797</v>
      </c>
      <c r="M202">
        <v>886</v>
      </c>
      <c r="N202">
        <v>3986.99999999999</v>
      </c>
      <c r="O202">
        <v>360</v>
      </c>
      <c r="P202">
        <v>300</v>
      </c>
      <c r="Q202">
        <v>5533</v>
      </c>
      <c r="R202">
        <v>4430</v>
      </c>
      <c r="S202">
        <v>6072.2138382093399</v>
      </c>
      <c r="T202">
        <v>13290</v>
      </c>
      <c r="U202">
        <v>15180.534595523301</v>
      </c>
      <c r="V202" s="10">
        <f t="shared" si="9"/>
        <v>63017.819850777974</v>
      </c>
    </row>
    <row r="203" spans="1:22" ht="16" x14ac:dyDescent="0.2">
      <c r="A203">
        <v>178</v>
      </c>
      <c r="B203" t="s">
        <v>101</v>
      </c>
      <c r="C203">
        <v>1</v>
      </c>
      <c r="D203" t="s">
        <v>103</v>
      </c>
      <c r="E203">
        <v>7</v>
      </c>
      <c r="F203">
        <v>13</v>
      </c>
      <c r="G203">
        <v>6</v>
      </c>
      <c r="H203">
        <v>443000</v>
      </c>
      <c r="I203">
        <v>26580</v>
      </c>
      <c r="J203">
        <v>9857.8198507783309</v>
      </c>
      <c r="K203">
        <v>26580</v>
      </c>
      <c r="L203">
        <v>506017.81985077797</v>
      </c>
      <c r="M203">
        <v>886</v>
      </c>
      <c r="N203">
        <v>3986.99999999999</v>
      </c>
      <c r="O203">
        <v>360</v>
      </c>
      <c r="P203">
        <v>300</v>
      </c>
      <c r="Q203">
        <v>5533</v>
      </c>
      <c r="R203">
        <v>4430</v>
      </c>
      <c r="S203">
        <v>6072.2138382093399</v>
      </c>
      <c r="T203">
        <v>13290</v>
      </c>
      <c r="U203">
        <v>15180.534595523301</v>
      </c>
      <c r="V203" s="10">
        <f t="shared" si="9"/>
        <v>63017.819850777974</v>
      </c>
    </row>
    <row r="204" spans="1:22" ht="16" x14ac:dyDescent="0.2">
      <c r="A204">
        <v>179</v>
      </c>
      <c r="B204" t="s">
        <v>101</v>
      </c>
      <c r="C204">
        <v>1</v>
      </c>
      <c r="D204" t="s">
        <v>103</v>
      </c>
      <c r="E204">
        <v>7</v>
      </c>
      <c r="F204">
        <v>13</v>
      </c>
      <c r="G204">
        <v>6</v>
      </c>
      <c r="H204">
        <v>443000</v>
      </c>
      <c r="I204">
        <v>26580</v>
      </c>
      <c r="J204">
        <v>9857.8198507783309</v>
      </c>
      <c r="K204">
        <v>26580</v>
      </c>
      <c r="L204">
        <v>506017.81985077797</v>
      </c>
      <c r="M204">
        <v>886</v>
      </c>
      <c r="N204">
        <v>3986.99999999999</v>
      </c>
      <c r="O204">
        <v>360</v>
      </c>
      <c r="P204">
        <v>300</v>
      </c>
      <c r="Q204">
        <v>5533</v>
      </c>
      <c r="R204">
        <v>4430</v>
      </c>
      <c r="S204">
        <v>6072.2138382093399</v>
      </c>
      <c r="T204">
        <v>13290</v>
      </c>
      <c r="U204">
        <v>15180.534595523301</v>
      </c>
      <c r="V204" s="10">
        <f t="shared" si="9"/>
        <v>63017.819850777974</v>
      </c>
    </row>
    <row r="205" spans="1:22" ht="16" x14ac:dyDescent="0.2">
      <c r="A205">
        <v>180</v>
      </c>
      <c r="B205" t="s">
        <v>101</v>
      </c>
      <c r="C205">
        <v>1</v>
      </c>
      <c r="D205" t="s">
        <v>104</v>
      </c>
      <c r="E205">
        <v>7</v>
      </c>
      <c r="F205">
        <v>13</v>
      </c>
      <c r="G205">
        <v>6</v>
      </c>
      <c r="H205">
        <v>676000</v>
      </c>
      <c r="I205">
        <v>33800</v>
      </c>
      <c r="J205">
        <v>16693.871778868899</v>
      </c>
      <c r="K205">
        <v>33800</v>
      </c>
      <c r="L205">
        <v>760293.87177886895</v>
      </c>
      <c r="M205">
        <v>1352</v>
      </c>
      <c r="N205">
        <v>6083.99999999999</v>
      </c>
      <c r="O205">
        <v>360</v>
      </c>
      <c r="P205">
        <v>300</v>
      </c>
      <c r="Q205">
        <v>8095.99999999999</v>
      </c>
      <c r="R205">
        <v>6760</v>
      </c>
      <c r="S205">
        <v>9123.5264613464205</v>
      </c>
      <c r="T205">
        <v>20280</v>
      </c>
      <c r="U205">
        <v>22808.816153365999</v>
      </c>
      <c r="V205" s="10">
        <f t="shared" si="9"/>
        <v>84293.871778868954</v>
      </c>
    </row>
    <row r="206" spans="1:22" ht="16" x14ac:dyDescent="0.2">
      <c r="A206">
        <v>181</v>
      </c>
      <c r="B206" t="s">
        <v>101</v>
      </c>
      <c r="C206">
        <v>1</v>
      </c>
      <c r="D206" t="s">
        <v>104</v>
      </c>
      <c r="E206">
        <v>7</v>
      </c>
      <c r="F206">
        <v>13</v>
      </c>
      <c r="G206">
        <v>6</v>
      </c>
      <c r="H206">
        <v>676000</v>
      </c>
      <c r="I206">
        <v>33800</v>
      </c>
      <c r="J206">
        <v>16693.871778868899</v>
      </c>
      <c r="K206">
        <v>33800</v>
      </c>
      <c r="L206">
        <v>760293.87177886895</v>
      </c>
      <c r="M206">
        <v>1352</v>
      </c>
      <c r="N206">
        <v>6083.99999999999</v>
      </c>
      <c r="O206">
        <v>360</v>
      </c>
      <c r="P206">
        <v>300</v>
      </c>
      <c r="Q206">
        <v>8095.99999999999</v>
      </c>
      <c r="R206">
        <v>6760</v>
      </c>
      <c r="S206">
        <v>9123.5264613464205</v>
      </c>
      <c r="T206">
        <v>20280</v>
      </c>
      <c r="U206">
        <v>22808.816153365999</v>
      </c>
      <c r="V206" s="10">
        <f t="shared" si="9"/>
        <v>84293.871778868954</v>
      </c>
    </row>
    <row r="207" spans="1:22" ht="16" x14ac:dyDescent="0.2">
      <c r="A207">
        <v>187</v>
      </c>
      <c r="B207" t="s">
        <v>101</v>
      </c>
      <c r="C207">
        <v>1</v>
      </c>
      <c r="D207" t="s">
        <v>102</v>
      </c>
      <c r="E207">
        <v>8</v>
      </c>
      <c r="F207">
        <v>13</v>
      </c>
      <c r="G207">
        <v>5</v>
      </c>
      <c r="H207">
        <v>338000</v>
      </c>
      <c r="I207">
        <v>27040</v>
      </c>
      <c r="J207">
        <v>5568.9637343662098</v>
      </c>
      <c r="K207">
        <v>27040</v>
      </c>
      <c r="L207">
        <v>397648.963734366</v>
      </c>
      <c r="M207">
        <v>563.33333333333303</v>
      </c>
      <c r="N207">
        <v>2534.99999999999</v>
      </c>
      <c r="O207">
        <v>300</v>
      </c>
      <c r="P207">
        <v>250</v>
      </c>
      <c r="Q207">
        <v>3648.3333333333298</v>
      </c>
      <c r="R207">
        <v>3380</v>
      </c>
      <c r="S207">
        <v>4771.78756481239</v>
      </c>
      <c r="T207">
        <v>10140</v>
      </c>
      <c r="U207">
        <v>11929.468912030899</v>
      </c>
      <c r="V207" s="10">
        <f t="shared" si="9"/>
        <v>59648.963734366</v>
      </c>
    </row>
    <row r="208" spans="1:22" ht="16" x14ac:dyDescent="0.2">
      <c r="A208">
        <v>196</v>
      </c>
      <c r="B208" t="s">
        <v>101</v>
      </c>
      <c r="C208">
        <v>1</v>
      </c>
      <c r="D208" t="s">
        <v>102</v>
      </c>
      <c r="E208">
        <v>8</v>
      </c>
      <c r="F208">
        <v>13</v>
      </c>
      <c r="G208">
        <v>5</v>
      </c>
      <c r="H208">
        <v>338000</v>
      </c>
      <c r="I208">
        <v>27040</v>
      </c>
      <c r="J208">
        <v>5568.9637343662098</v>
      </c>
      <c r="K208">
        <v>27040</v>
      </c>
      <c r="L208">
        <v>397648.963734366</v>
      </c>
      <c r="M208">
        <v>563.33333333333303</v>
      </c>
      <c r="N208">
        <v>2534.99999999999</v>
      </c>
      <c r="O208">
        <v>300</v>
      </c>
      <c r="P208">
        <v>250</v>
      </c>
      <c r="Q208">
        <v>3648.3333333333298</v>
      </c>
      <c r="R208">
        <v>3380</v>
      </c>
      <c r="S208">
        <v>4771.78756481239</v>
      </c>
      <c r="T208">
        <v>10140</v>
      </c>
      <c r="U208">
        <v>11929.468912030899</v>
      </c>
      <c r="V208" s="10">
        <f t="shared" si="9"/>
        <v>59648.963734366</v>
      </c>
    </row>
    <row r="209" spans="1:22" ht="16" x14ac:dyDescent="0.2">
      <c r="A209">
        <v>201</v>
      </c>
      <c r="B209" t="s">
        <v>101</v>
      </c>
      <c r="C209">
        <v>1</v>
      </c>
      <c r="D209" t="s">
        <v>103</v>
      </c>
      <c r="E209">
        <v>8</v>
      </c>
      <c r="F209">
        <v>13</v>
      </c>
      <c r="G209">
        <v>5</v>
      </c>
      <c r="H209">
        <v>443000</v>
      </c>
      <c r="I209">
        <v>26580</v>
      </c>
      <c r="J209">
        <v>8199.7467798370599</v>
      </c>
      <c r="K209">
        <v>26580</v>
      </c>
      <c r="L209">
        <v>504359.74677983701</v>
      </c>
      <c r="M209">
        <v>738.33333333333303</v>
      </c>
      <c r="N209">
        <v>3322.49999999999</v>
      </c>
      <c r="O209">
        <v>300</v>
      </c>
      <c r="P209">
        <v>250</v>
      </c>
      <c r="Q209">
        <v>4610.8333333333303</v>
      </c>
      <c r="R209">
        <v>4430</v>
      </c>
      <c r="S209">
        <v>6052.3169613580403</v>
      </c>
      <c r="T209">
        <v>13290</v>
      </c>
      <c r="U209">
        <v>15130.7924033951</v>
      </c>
      <c r="V209" s="10">
        <f t="shared" si="9"/>
        <v>61359.746779837005</v>
      </c>
    </row>
    <row r="210" spans="1:22" ht="16" x14ac:dyDescent="0.2">
      <c r="A210">
        <v>202</v>
      </c>
      <c r="B210" t="s">
        <v>101</v>
      </c>
      <c r="C210">
        <v>1</v>
      </c>
      <c r="D210" t="s">
        <v>103</v>
      </c>
      <c r="E210">
        <v>8</v>
      </c>
      <c r="F210">
        <v>13</v>
      </c>
      <c r="G210">
        <v>5</v>
      </c>
      <c r="H210">
        <v>443000</v>
      </c>
      <c r="I210">
        <v>26580</v>
      </c>
      <c r="J210">
        <v>8199.7467798370599</v>
      </c>
      <c r="K210">
        <v>26580</v>
      </c>
      <c r="L210">
        <v>504359.74677983701</v>
      </c>
      <c r="M210">
        <v>738.33333333333303</v>
      </c>
      <c r="N210">
        <v>3322.49999999999</v>
      </c>
      <c r="O210">
        <v>300</v>
      </c>
      <c r="P210">
        <v>250</v>
      </c>
      <c r="Q210">
        <v>4610.8333333333303</v>
      </c>
      <c r="R210">
        <v>4430</v>
      </c>
      <c r="S210">
        <v>6052.3169613580403</v>
      </c>
      <c r="T210">
        <v>13290</v>
      </c>
      <c r="U210">
        <v>15130.7924033951</v>
      </c>
      <c r="V210" s="10">
        <f t="shared" si="9"/>
        <v>61359.746779837005</v>
      </c>
    </row>
    <row r="211" spans="1:22" ht="16" x14ac:dyDescent="0.2">
      <c r="A211">
        <v>203</v>
      </c>
      <c r="B211" t="s">
        <v>101</v>
      </c>
      <c r="C211">
        <v>1</v>
      </c>
      <c r="D211" t="s">
        <v>103</v>
      </c>
      <c r="E211">
        <v>8</v>
      </c>
      <c r="F211">
        <v>13</v>
      </c>
      <c r="G211">
        <v>5</v>
      </c>
      <c r="H211">
        <v>443000</v>
      </c>
      <c r="I211">
        <v>26580</v>
      </c>
      <c r="J211">
        <v>8199.7467798370599</v>
      </c>
      <c r="K211">
        <v>26580</v>
      </c>
      <c r="L211">
        <v>504359.74677983701</v>
      </c>
      <c r="M211">
        <v>738.33333333333303</v>
      </c>
      <c r="N211">
        <v>3322.49999999999</v>
      </c>
      <c r="O211">
        <v>300</v>
      </c>
      <c r="P211">
        <v>250</v>
      </c>
      <c r="Q211">
        <v>4610.8333333333303</v>
      </c>
      <c r="R211">
        <v>4430</v>
      </c>
      <c r="S211">
        <v>6052.3169613580403</v>
      </c>
      <c r="T211">
        <v>13290</v>
      </c>
      <c r="U211">
        <v>15130.7924033951</v>
      </c>
      <c r="V211" s="10">
        <f t="shared" si="9"/>
        <v>61359.746779837005</v>
      </c>
    </row>
    <row r="212" spans="1:22" ht="16" x14ac:dyDescent="0.2">
      <c r="A212">
        <v>204</v>
      </c>
      <c r="B212" t="s">
        <v>101</v>
      </c>
      <c r="C212">
        <v>1</v>
      </c>
      <c r="D212" t="s">
        <v>103</v>
      </c>
      <c r="E212">
        <v>8</v>
      </c>
      <c r="F212">
        <v>13</v>
      </c>
      <c r="G212">
        <v>5</v>
      </c>
      <c r="H212">
        <v>443000</v>
      </c>
      <c r="I212">
        <v>26580</v>
      </c>
      <c r="J212">
        <v>8199.7467798370599</v>
      </c>
      <c r="K212">
        <v>26580</v>
      </c>
      <c r="L212">
        <v>504359.74677983701</v>
      </c>
      <c r="M212">
        <v>738.33333333333303</v>
      </c>
      <c r="N212">
        <v>3322.49999999999</v>
      </c>
      <c r="O212">
        <v>300</v>
      </c>
      <c r="P212">
        <v>250</v>
      </c>
      <c r="Q212">
        <v>4610.8333333333303</v>
      </c>
      <c r="R212">
        <v>4430</v>
      </c>
      <c r="S212">
        <v>6052.3169613580403</v>
      </c>
      <c r="T212">
        <v>13290</v>
      </c>
      <c r="U212">
        <v>15130.7924033951</v>
      </c>
      <c r="V212" s="10">
        <f t="shared" si="9"/>
        <v>61359.746779837005</v>
      </c>
    </row>
    <row r="213" spans="1:22" ht="16" x14ac:dyDescent="0.2">
      <c r="A213">
        <v>210</v>
      </c>
      <c r="B213" t="s">
        <v>101</v>
      </c>
      <c r="C213">
        <v>1</v>
      </c>
      <c r="D213" t="s">
        <v>103</v>
      </c>
      <c r="E213">
        <v>8</v>
      </c>
      <c r="F213">
        <v>13</v>
      </c>
      <c r="G213">
        <v>5</v>
      </c>
      <c r="H213">
        <v>443000</v>
      </c>
      <c r="I213">
        <v>26580</v>
      </c>
      <c r="J213">
        <v>8199.7467798370599</v>
      </c>
      <c r="K213">
        <v>26580</v>
      </c>
      <c r="L213">
        <v>504359.74677983701</v>
      </c>
      <c r="M213">
        <v>738.33333333333303</v>
      </c>
      <c r="N213">
        <v>3322.49999999999</v>
      </c>
      <c r="O213">
        <v>300</v>
      </c>
      <c r="P213">
        <v>250</v>
      </c>
      <c r="Q213">
        <v>4610.8333333333303</v>
      </c>
      <c r="R213">
        <v>4430</v>
      </c>
      <c r="S213">
        <v>6052.3169613580403</v>
      </c>
      <c r="T213">
        <v>13290</v>
      </c>
      <c r="U213">
        <v>15130.7924033951</v>
      </c>
      <c r="V213" s="10">
        <f t="shared" si="9"/>
        <v>61359.746779837005</v>
      </c>
    </row>
    <row r="214" spans="1:22" ht="16" x14ac:dyDescent="0.2">
      <c r="A214">
        <v>211</v>
      </c>
      <c r="B214" t="s">
        <v>101</v>
      </c>
      <c r="C214">
        <v>1</v>
      </c>
      <c r="D214" t="s">
        <v>103</v>
      </c>
      <c r="E214">
        <v>8</v>
      </c>
      <c r="F214">
        <v>13</v>
      </c>
      <c r="G214">
        <v>5</v>
      </c>
      <c r="H214">
        <v>443000</v>
      </c>
      <c r="I214">
        <v>26580</v>
      </c>
      <c r="J214">
        <v>8199.7467798370599</v>
      </c>
      <c r="K214">
        <v>26580</v>
      </c>
      <c r="L214">
        <v>504359.74677983701</v>
      </c>
      <c r="M214">
        <v>738.33333333333303</v>
      </c>
      <c r="N214">
        <v>3322.49999999999</v>
      </c>
      <c r="O214">
        <v>300</v>
      </c>
      <c r="P214">
        <v>250</v>
      </c>
      <c r="Q214">
        <v>4610.8333333333303</v>
      </c>
      <c r="R214">
        <v>4430</v>
      </c>
      <c r="S214">
        <v>6052.3169613580403</v>
      </c>
      <c r="T214">
        <v>13290</v>
      </c>
      <c r="U214">
        <v>15130.7924033951</v>
      </c>
      <c r="V214" s="10">
        <f t="shared" si="9"/>
        <v>61359.746779837005</v>
      </c>
    </row>
    <row r="215" spans="1:22" ht="16" x14ac:dyDescent="0.2">
      <c r="A215">
        <v>212</v>
      </c>
      <c r="B215" t="s">
        <v>101</v>
      </c>
      <c r="C215">
        <v>1</v>
      </c>
      <c r="D215" t="s">
        <v>103</v>
      </c>
      <c r="E215">
        <v>8</v>
      </c>
      <c r="F215">
        <v>13</v>
      </c>
      <c r="G215">
        <v>5</v>
      </c>
      <c r="H215">
        <v>443000</v>
      </c>
      <c r="I215">
        <v>26580</v>
      </c>
      <c r="J215">
        <v>8199.7467798370599</v>
      </c>
      <c r="K215">
        <v>26580</v>
      </c>
      <c r="L215">
        <v>504359.74677983701</v>
      </c>
      <c r="M215">
        <v>738.33333333333303</v>
      </c>
      <c r="N215">
        <v>3322.49999999999</v>
      </c>
      <c r="O215">
        <v>300</v>
      </c>
      <c r="P215">
        <v>250</v>
      </c>
      <c r="Q215">
        <v>4610.8333333333303</v>
      </c>
      <c r="R215">
        <v>4430</v>
      </c>
      <c r="S215">
        <v>6052.3169613580403</v>
      </c>
      <c r="T215">
        <v>13290</v>
      </c>
      <c r="U215">
        <v>15130.7924033951</v>
      </c>
      <c r="V215" s="10">
        <f t="shared" si="9"/>
        <v>61359.746779837005</v>
      </c>
    </row>
    <row r="216" spans="1:22" ht="16" x14ac:dyDescent="0.2">
      <c r="A216">
        <v>213</v>
      </c>
      <c r="B216" t="s">
        <v>101</v>
      </c>
      <c r="C216">
        <v>1</v>
      </c>
      <c r="D216" t="s">
        <v>103</v>
      </c>
      <c r="E216">
        <v>8</v>
      </c>
      <c r="F216">
        <v>13</v>
      </c>
      <c r="G216">
        <v>5</v>
      </c>
      <c r="H216">
        <v>443000</v>
      </c>
      <c r="I216">
        <v>26580</v>
      </c>
      <c r="J216">
        <v>8199.7467798370599</v>
      </c>
      <c r="K216">
        <v>26580</v>
      </c>
      <c r="L216">
        <v>504359.74677983701</v>
      </c>
      <c r="M216">
        <v>738.33333333333303</v>
      </c>
      <c r="N216">
        <v>3322.49999999999</v>
      </c>
      <c r="O216">
        <v>300</v>
      </c>
      <c r="P216">
        <v>250</v>
      </c>
      <c r="Q216">
        <v>4610.8333333333303</v>
      </c>
      <c r="R216">
        <v>4430</v>
      </c>
      <c r="S216">
        <v>6052.3169613580403</v>
      </c>
      <c r="T216">
        <v>13290</v>
      </c>
      <c r="U216">
        <v>15130.7924033951</v>
      </c>
      <c r="V216" s="10">
        <f t="shared" si="9"/>
        <v>61359.746779837005</v>
      </c>
    </row>
    <row r="217" spans="1:22" ht="16" x14ac:dyDescent="0.2">
      <c r="A217">
        <v>216</v>
      </c>
      <c r="B217" t="s">
        <v>101</v>
      </c>
      <c r="C217">
        <v>1</v>
      </c>
      <c r="D217" t="s">
        <v>104</v>
      </c>
      <c r="E217">
        <v>8</v>
      </c>
      <c r="F217">
        <v>13</v>
      </c>
      <c r="G217">
        <v>5</v>
      </c>
      <c r="H217">
        <v>676000</v>
      </c>
      <c r="I217">
        <v>33800</v>
      </c>
      <c r="J217">
        <v>13883.202216778</v>
      </c>
      <c r="K217">
        <v>33800</v>
      </c>
      <c r="L217">
        <v>757483.20221677795</v>
      </c>
      <c r="M217">
        <v>1126.6666666666599</v>
      </c>
      <c r="N217">
        <v>5069.99999999999</v>
      </c>
      <c r="O217">
        <v>300</v>
      </c>
      <c r="P217">
        <v>250</v>
      </c>
      <c r="Q217">
        <v>6746.6666666666597</v>
      </c>
      <c r="R217">
        <v>6760</v>
      </c>
      <c r="S217">
        <v>9089.79842660133</v>
      </c>
      <c r="T217">
        <v>20280</v>
      </c>
      <c r="U217">
        <v>22724.4960665033</v>
      </c>
      <c r="V217" s="10">
        <f t="shared" si="9"/>
        <v>81483.202216777951</v>
      </c>
    </row>
    <row r="218" spans="1:22" ht="16" x14ac:dyDescent="0.2">
      <c r="A218">
        <v>219</v>
      </c>
      <c r="B218" t="s">
        <v>101</v>
      </c>
      <c r="C218">
        <v>1</v>
      </c>
      <c r="D218" t="s">
        <v>104</v>
      </c>
      <c r="E218">
        <v>8</v>
      </c>
      <c r="F218">
        <v>13</v>
      </c>
      <c r="G218">
        <v>5</v>
      </c>
      <c r="H218">
        <v>676000</v>
      </c>
      <c r="I218">
        <v>33800</v>
      </c>
      <c r="J218">
        <v>13883.202216778</v>
      </c>
      <c r="K218">
        <v>33800</v>
      </c>
      <c r="L218">
        <v>757483.20221677795</v>
      </c>
      <c r="M218">
        <v>1126.6666666666599</v>
      </c>
      <c r="N218">
        <v>5069.99999999999</v>
      </c>
      <c r="O218">
        <v>300</v>
      </c>
      <c r="P218">
        <v>250</v>
      </c>
      <c r="Q218">
        <v>6746.6666666666597</v>
      </c>
      <c r="R218">
        <v>6760</v>
      </c>
      <c r="S218">
        <v>9089.79842660133</v>
      </c>
      <c r="T218">
        <v>20280</v>
      </c>
      <c r="U218">
        <v>22724.4960665033</v>
      </c>
      <c r="V218" s="10">
        <f t="shared" si="9"/>
        <v>81483.202216777951</v>
      </c>
    </row>
    <row r="219" spans="1:22" ht="16" x14ac:dyDescent="0.2">
      <c r="A219">
        <v>220</v>
      </c>
      <c r="B219" t="s">
        <v>101</v>
      </c>
      <c r="C219">
        <v>1</v>
      </c>
      <c r="D219" t="s">
        <v>104</v>
      </c>
      <c r="E219">
        <v>8</v>
      </c>
      <c r="F219">
        <v>13</v>
      </c>
      <c r="G219">
        <v>5</v>
      </c>
      <c r="H219">
        <v>676000</v>
      </c>
      <c r="I219">
        <v>33800</v>
      </c>
      <c r="J219">
        <v>13883.202216778</v>
      </c>
      <c r="K219">
        <v>33800</v>
      </c>
      <c r="L219">
        <v>757483.20221677795</v>
      </c>
      <c r="M219">
        <v>1126.6666666666599</v>
      </c>
      <c r="N219">
        <v>5069.99999999999</v>
      </c>
      <c r="O219">
        <v>300</v>
      </c>
      <c r="P219">
        <v>250</v>
      </c>
      <c r="Q219">
        <v>6746.6666666666597</v>
      </c>
      <c r="R219">
        <v>6760</v>
      </c>
      <c r="S219">
        <v>9089.79842660133</v>
      </c>
      <c r="T219">
        <v>20280</v>
      </c>
      <c r="U219">
        <v>22724.4960665033</v>
      </c>
      <c r="V219" s="10">
        <f t="shared" si="9"/>
        <v>81483.202216777951</v>
      </c>
    </row>
    <row r="220" spans="1:22" ht="16" x14ac:dyDescent="0.2">
      <c r="A220">
        <v>223</v>
      </c>
      <c r="B220" t="s">
        <v>101</v>
      </c>
      <c r="C220">
        <v>1</v>
      </c>
      <c r="D220" t="s">
        <v>102</v>
      </c>
      <c r="E220">
        <v>9</v>
      </c>
      <c r="F220">
        <v>13</v>
      </c>
      <c r="G220">
        <v>4</v>
      </c>
      <c r="H220">
        <v>338000</v>
      </c>
      <c r="I220">
        <v>27040</v>
      </c>
      <c r="J220">
        <v>4447.8784912198998</v>
      </c>
      <c r="K220">
        <v>27040</v>
      </c>
      <c r="L220">
        <v>396527.87849121902</v>
      </c>
      <c r="M220">
        <v>450.666666666666</v>
      </c>
      <c r="N220">
        <v>2027.99999999999</v>
      </c>
      <c r="O220">
        <v>240</v>
      </c>
      <c r="P220">
        <v>200</v>
      </c>
      <c r="Q220">
        <v>2918.6666666666601</v>
      </c>
      <c r="R220">
        <v>3380</v>
      </c>
      <c r="S220">
        <v>4758.3345418946301</v>
      </c>
      <c r="T220">
        <v>10140</v>
      </c>
      <c r="U220">
        <v>11895.836354736501</v>
      </c>
      <c r="V220" s="10">
        <f t="shared" si="9"/>
        <v>58527.878491219017</v>
      </c>
    </row>
    <row r="221" spans="1:22" ht="16" x14ac:dyDescent="0.2">
      <c r="A221">
        <v>224</v>
      </c>
      <c r="B221" t="s">
        <v>101</v>
      </c>
      <c r="C221">
        <v>1</v>
      </c>
      <c r="D221" t="s">
        <v>102</v>
      </c>
      <c r="E221">
        <v>9</v>
      </c>
      <c r="F221">
        <v>13</v>
      </c>
      <c r="G221">
        <v>4</v>
      </c>
      <c r="H221">
        <v>338000</v>
      </c>
      <c r="I221">
        <v>27040</v>
      </c>
      <c r="J221">
        <v>4447.8784912198998</v>
      </c>
      <c r="K221">
        <v>27040</v>
      </c>
      <c r="L221">
        <v>396527.87849121902</v>
      </c>
      <c r="M221">
        <v>450.666666666666</v>
      </c>
      <c r="N221">
        <v>2027.99999999999</v>
      </c>
      <c r="O221">
        <v>240</v>
      </c>
      <c r="P221">
        <v>200</v>
      </c>
      <c r="Q221">
        <v>2918.6666666666601</v>
      </c>
      <c r="R221">
        <v>3380</v>
      </c>
      <c r="S221">
        <v>4758.3345418946301</v>
      </c>
      <c r="T221">
        <v>10140</v>
      </c>
      <c r="U221">
        <v>11895.836354736501</v>
      </c>
      <c r="V221" s="10">
        <f t="shared" si="9"/>
        <v>58527.878491219017</v>
      </c>
    </row>
    <row r="222" spans="1:22" ht="16" x14ac:dyDescent="0.2">
      <c r="A222">
        <v>226</v>
      </c>
      <c r="B222" t="s">
        <v>101</v>
      </c>
      <c r="C222">
        <v>1</v>
      </c>
      <c r="D222" t="s">
        <v>102</v>
      </c>
      <c r="E222">
        <v>9</v>
      </c>
      <c r="F222">
        <v>13</v>
      </c>
      <c r="G222">
        <v>4</v>
      </c>
      <c r="H222">
        <v>338000</v>
      </c>
      <c r="I222">
        <v>27040</v>
      </c>
      <c r="J222">
        <v>4447.8784912198998</v>
      </c>
      <c r="K222">
        <v>27040</v>
      </c>
      <c r="L222">
        <v>396527.87849121902</v>
      </c>
      <c r="M222">
        <v>450.666666666666</v>
      </c>
      <c r="N222">
        <v>2027.99999999999</v>
      </c>
      <c r="O222">
        <v>240</v>
      </c>
      <c r="P222">
        <v>200</v>
      </c>
      <c r="Q222">
        <v>2918.6666666666601</v>
      </c>
      <c r="R222">
        <v>3380</v>
      </c>
      <c r="S222">
        <v>4758.3345418946301</v>
      </c>
      <c r="T222">
        <v>10140</v>
      </c>
      <c r="U222">
        <v>11895.836354736501</v>
      </c>
      <c r="V222" s="10">
        <f t="shared" si="9"/>
        <v>58527.878491219017</v>
      </c>
    </row>
    <row r="223" spans="1:22" ht="16" x14ac:dyDescent="0.2">
      <c r="A223">
        <v>227</v>
      </c>
      <c r="B223" t="s">
        <v>101</v>
      </c>
      <c r="C223">
        <v>1</v>
      </c>
      <c r="D223" t="s">
        <v>102</v>
      </c>
      <c r="E223">
        <v>9</v>
      </c>
      <c r="F223">
        <v>13</v>
      </c>
      <c r="G223">
        <v>4</v>
      </c>
      <c r="H223">
        <v>338000</v>
      </c>
      <c r="I223">
        <v>27040</v>
      </c>
      <c r="J223">
        <v>4447.8784912198998</v>
      </c>
      <c r="K223">
        <v>27040</v>
      </c>
      <c r="L223">
        <v>396527.87849121902</v>
      </c>
      <c r="M223">
        <v>450.666666666666</v>
      </c>
      <c r="N223">
        <v>2027.99999999999</v>
      </c>
      <c r="O223">
        <v>240</v>
      </c>
      <c r="P223">
        <v>200</v>
      </c>
      <c r="Q223">
        <v>2918.6666666666601</v>
      </c>
      <c r="R223">
        <v>3380</v>
      </c>
      <c r="S223">
        <v>4758.3345418946301</v>
      </c>
      <c r="T223">
        <v>10140</v>
      </c>
      <c r="U223">
        <v>11895.836354736501</v>
      </c>
      <c r="V223" s="10">
        <f t="shared" si="9"/>
        <v>58527.878491219017</v>
      </c>
    </row>
    <row r="224" spans="1:22" ht="16" x14ac:dyDescent="0.2">
      <c r="A224">
        <v>228</v>
      </c>
      <c r="B224" t="s">
        <v>101</v>
      </c>
      <c r="C224">
        <v>1</v>
      </c>
      <c r="D224" t="s">
        <v>102</v>
      </c>
      <c r="E224">
        <v>9</v>
      </c>
      <c r="F224">
        <v>13</v>
      </c>
      <c r="G224">
        <v>4</v>
      </c>
      <c r="H224">
        <v>338000</v>
      </c>
      <c r="I224">
        <v>27040</v>
      </c>
      <c r="J224">
        <v>4447.8784912198998</v>
      </c>
      <c r="K224">
        <v>27040</v>
      </c>
      <c r="L224">
        <v>396527.87849121902</v>
      </c>
      <c r="M224">
        <v>450.666666666666</v>
      </c>
      <c r="N224">
        <v>2027.99999999999</v>
      </c>
      <c r="O224">
        <v>240</v>
      </c>
      <c r="P224">
        <v>200</v>
      </c>
      <c r="Q224">
        <v>2918.6666666666601</v>
      </c>
      <c r="R224">
        <v>3380</v>
      </c>
      <c r="S224">
        <v>4758.3345418946301</v>
      </c>
      <c r="T224">
        <v>10140</v>
      </c>
      <c r="U224">
        <v>11895.836354736501</v>
      </c>
      <c r="V224" s="10">
        <f t="shared" si="9"/>
        <v>58527.878491219017</v>
      </c>
    </row>
    <row r="225" spans="1:22" ht="16" x14ac:dyDescent="0.2">
      <c r="A225">
        <v>230</v>
      </c>
      <c r="B225" t="s">
        <v>101</v>
      </c>
      <c r="C225">
        <v>1</v>
      </c>
      <c r="D225" t="s">
        <v>102</v>
      </c>
      <c r="E225">
        <v>9</v>
      </c>
      <c r="F225">
        <v>13</v>
      </c>
      <c r="G225">
        <v>4</v>
      </c>
      <c r="H225">
        <v>338000</v>
      </c>
      <c r="I225">
        <v>27040</v>
      </c>
      <c r="J225">
        <v>4447.8784912198998</v>
      </c>
      <c r="K225">
        <v>27040</v>
      </c>
      <c r="L225">
        <v>396527.87849121902</v>
      </c>
      <c r="M225">
        <v>450.666666666666</v>
      </c>
      <c r="N225">
        <v>2027.99999999999</v>
      </c>
      <c r="O225">
        <v>240</v>
      </c>
      <c r="P225">
        <v>200</v>
      </c>
      <c r="Q225">
        <v>2918.6666666666601</v>
      </c>
      <c r="R225">
        <v>3380</v>
      </c>
      <c r="S225">
        <v>4758.3345418946301</v>
      </c>
      <c r="T225">
        <v>10140</v>
      </c>
      <c r="U225">
        <v>11895.836354736501</v>
      </c>
      <c r="V225" s="10">
        <f t="shared" si="9"/>
        <v>58527.878491219017</v>
      </c>
    </row>
    <row r="226" spans="1:22" ht="16" x14ac:dyDescent="0.2">
      <c r="V226" s="11">
        <f>SUM(V196:V225)</f>
        <v>1965639.0740257078</v>
      </c>
    </row>
    <row r="227" spans="1:22" ht="16" x14ac:dyDescent="0.2">
      <c r="A227">
        <v>182</v>
      </c>
      <c r="B227" t="s">
        <v>101</v>
      </c>
      <c r="C227">
        <v>1</v>
      </c>
      <c r="D227" t="s">
        <v>104</v>
      </c>
      <c r="E227">
        <v>7</v>
      </c>
      <c r="F227">
        <v>14</v>
      </c>
      <c r="G227">
        <v>7</v>
      </c>
      <c r="H227">
        <v>676000</v>
      </c>
      <c r="I227">
        <v>33800</v>
      </c>
      <c r="J227">
        <v>19515.992356670598</v>
      </c>
      <c r="K227">
        <v>33800</v>
      </c>
      <c r="L227">
        <v>763115.99235666997</v>
      </c>
      <c r="M227">
        <v>1577.3333333333301</v>
      </c>
      <c r="N227">
        <v>7097.99999999999</v>
      </c>
      <c r="O227">
        <v>420</v>
      </c>
      <c r="P227">
        <v>350</v>
      </c>
      <c r="Q227">
        <v>9445.3333333333303</v>
      </c>
      <c r="R227">
        <v>6760</v>
      </c>
      <c r="S227">
        <v>9157.3919082800403</v>
      </c>
      <c r="T227">
        <v>20280</v>
      </c>
      <c r="U227">
        <v>22893.479770700102</v>
      </c>
      <c r="V227" s="10">
        <f t="shared" ref="V227:V250" si="10">L227-H227</f>
        <v>87115.992356669973</v>
      </c>
    </row>
    <row r="228" spans="1:22" ht="16" x14ac:dyDescent="0.2">
      <c r="A228">
        <v>184</v>
      </c>
      <c r="B228" t="s">
        <v>101</v>
      </c>
      <c r="C228">
        <v>1</v>
      </c>
      <c r="D228" t="s">
        <v>104</v>
      </c>
      <c r="E228">
        <v>7</v>
      </c>
      <c r="F228">
        <v>14</v>
      </c>
      <c r="G228">
        <v>7</v>
      </c>
      <c r="H228">
        <v>676000</v>
      </c>
      <c r="I228">
        <v>33800</v>
      </c>
      <c r="J228">
        <v>19515.992356670598</v>
      </c>
      <c r="K228">
        <v>33800</v>
      </c>
      <c r="L228">
        <v>763115.99235666997</v>
      </c>
      <c r="M228">
        <v>1577.3333333333301</v>
      </c>
      <c r="N228">
        <v>7097.99999999999</v>
      </c>
      <c r="O228">
        <v>420</v>
      </c>
      <c r="P228">
        <v>350</v>
      </c>
      <c r="Q228">
        <v>9445.3333333333303</v>
      </c>
      <c r="R228">
        <v>6760</v>
      </c>
      <c r="S228">
        <v>9157.3919082800403</v>
      </c>
      <c r="T228">
        <v>20280</v>
      </c>
      <c r="U228">
        <v>22893.479770700102</v>
      </c>
      <c r="V228" s="10">
        <f t="shared" si="10"/>
        <v>87115.992356669973</v>
      </c>
    </row>
    <row r="229" spans="1:22" ht="16" x14ac:dyDescent="0.2">
      <c r="A229">
        <v>185</v>
      </c>
      <c r="B229" t="s">
        <v>101</v>
      </c>
      <c r="C229">
        <v>1</v>
      </c>
      <c r="D229" t="s">
        <v>104</v>
      </c>
      <c r="E229">
        <v>7</v>
      </c>
      <c r="F229">
        <v>14</v>
      </c>
      <c r="G229">
        <v>7</v>
      </c>
      <c r="H229">
        <v>676000</v>
      </c>
      <c r="I229">
        <v>33800</v>
      </c>
      <c r="J229">
        <v>19515.992356670598</v>
      </c>
      <c r="K229">
        <v>33800</v>
      </c>
      <c r="L229">
        <v>763115.99235666997</v>
      </c>
      <c r="M229">
        <v>1577.3333333333301</v>
      </c>
      <c r="N229">
        <v>7097.99999999999</v>
      </c>
      <c r="O229">
        <v>420</v>
      </c>
      <c r="P229">
        <v>350</v>
      </c>
      <c r="Q229">
        <v>9445.3333333333303</v>
      </c>
      <c r="R229">
        <v>6760</v>
      </c>
      <c r="S229">
        <v>9157.3919082800403</v>
      </c>
      <c r="T229">
        <v>20280</v>
      </c>
      <c r="U229">
        <v>22893.479770700102</v>
      </c>
      <c r="V229" s="10">
        <f t="shared" si="10"/>
        <v>87115.992356669973</v>
      </c>
    </row>
    <row r="230" spans="1:22" ht="16" x14ac:dyDescent="0.2">
      <c r="A230">
        <v>199</v>
      </c>
      <c r="B230" t="s">
        <v>101</v>
      </c>
      <c r="C230">
        <v>1</v>
      </c>
      <c r="D230" t="s">
        <v>103</v>
      </c>
      <c r="E230">
        <v>8</v>
      </c>
      <c r="F230">
        <v>14</v>
      </c>
      <c r="G230">
        <v>6</v>
      </c>
      <c r="H230">
        <v>443000</v>
      </c>
      <c r="I230">
        <v>26580</v>
      </c>
      <c r="J230">
        <v>9857.8198507783309</v>
      </c>
      <c r="K230">
        <v>26580</v>
      </c>
      <c r="L230">
        <v>506017.81985077797</v>
      </c>
      <c r="M230">
        <v>886</v>
      </c>
      <c r="N230">
        <v>3986.99999999999</v>
      </c>
      <c r="O230">
        <v>360</v>
      </c>
      <c r="P230">
        <v>300</v>
      </c>
      <c r="Q230">
        <v>5533</v>
      </c>
      <c r="R230">
        <v>4430</v>
      </c>
      <c r="S230">
        <v>6072.2138382093399</v>
      </c>
      <c r="T230">
        <v>13290</v>
      </c>
      <c r="U230">
        <v>15180.534595523301</v>
      </c>
      <c r="V230" s="10">
        <f t="shared" si="10"/>
        <v>63017.819850777974</v>
      </c>
    </row>
    <row r="231" spans="1:22" ht="16" x14ac:dyDescent="0.2">
      <c r="A231">
        <v>206</v>
      </c>
      <c r="B231" t="s">
        <v>101</v>
      </c>
      <c r="C231">
        <v>1</v>
      </c>
      <c r="D231" t="s">
        <v>103</v>
      </c>
      <c r="E231">
        <v>8</v>
      </c>
      <c r="F231">
        <v>14</v>
      </c>
      <c r="G231">
        <v>6</v>
      </c>
      <c r="H231">
        <v>443000</v>
      </c>
      <c r="I231">
        <v>26580</v>
      </c>
      <c r="J231">
        <v>9857.8198507783309</v>
      </c>
      <c r="K231">
        <v>26580</v>
      </c>
      <c r="L231">
        <v>506017.81985077797</v>
      </c>
      <c r="M231">
        <v>886</v>
      </c>
      <c r="N231">
        <v>3986.99999999999</v>
      </c>
      <c r="O231">
        <v>360</v>
      </c>
      <c r="P231">
        <v>300</v>
      </c>
      <c r="Q231">
        <v>5533</v>
      </c>
      <c r="R231">
        <v>4430</v>
      </c>
      <c r="S231">
        <v>6072.2138382093399</v>
      </c>
      <c r="T231">
        <v>13290</v>
      </c>
      <c r="U231">
        <v>15180.534595523301</v>
      </c>
      <c r="V231" s="10">
        <f t="shared" si="10"/>
        <v>63017.819850777974</v>
      </c>
    </row>
    <row r="232" spans="1:22" ht="16" x14ac:dyDescent="0.2">
      <c r="A232">
        <v>209</v>
      </c>
      <c r="B232" t="s">
        <v>101</v>
      </c>
      <c r="C232">
        <v>1</v>
      </c>
      <c r="D232" t="s">
        <v>103</v>
      </c>
      <c r="E232">
        <v>8</v>
      </c>
      <c r="F232">
        <v>14</v>
      </c>
      <c r="G232">
        <v>6</v>
      </c>
      <c r="H232">
        <v>443000</v>
      </c>
      <c r="I232">
        <v>26580</v>
      </c>
      <c r="J232">
        <v>9857.8198507783309</v>
      </c>
      <c r="K232">
        <v>26580</v>
      </c>
      <c r="L232">
        <v>506017.81985077797</v>
      </c>
      <c r="M232">
        <v>886</v>
      </c>
      <c r="N232">
        <v>3986.99999999999</v>
      </c>
      <c r="O232">
        <v>360</v>
      </c>
      <c r="P232">
        <v>300</v>
      </c>
      <c r="Q232">
        <v>5533</v>
      </c>
      <c r="R232">
        <v>4430</v>
      </c>
      <c r="S232">
        <v>6072.2138382093399</v>
      </c>
      <c r="T232">
        <v>13290</v>
      </c>
      <c r="U232">
        <v>15180.534595523301</v>
      </c>
      <c r="V232" s="10">
        <f t="shared" si="10"/>
        <v>63017.819850777974</v>
      </c>
    </row>
    <row r="233" spans="1:22" ht="16" x14ac:dyDescent="0.2">
      <c r="A233">
        <v>214</v>
      </c>
      <c r="B233" t="s">
        <v>101</v>
      </c>
      <c r="C233">
        <v>1</v>
      </c>
      <c r="D233" t="s">
        <v>103</v>
      </c>
      <c r="E233">
        <v>8</v>
      </c>
      <c r="F233">
        <v>14</v>
      </c>
      <c r="G233">
        <v>6</v>
      </c>
      <c r="H233">
        <v>443000</v>
      </c>
      <c r="I233">
        <v>26580</v>
      </c>
      <c r="J233">
        <v>9857.8198507783309</v>
      </c>
      <c r="K233">
        <v>26580</v>
      </c>
      <c r="L233">
        <v>506017.81985077797</v>
      </c>
      <c r="M233">
        <v>886</v>
      </c>
      <c r="N233">
        <v>3986.99999999999</v>
      </c>
      <c r="O233">
        <v>360</v>
      </c>
      <c r="P233">
        <v>300</v>
      </c>
      <c r="Q233">
        <v>5533</v>
      </c>
      <c r="R233">
        <v>4430</v>
      </c>
      <c r="S233">
        <v>6072.2138382093399</v>
      </c>
      <c r="T233">
        <v>13290</v>
      </c>
      <c r="U233">
        <v>15180.534595523301</v>
      </c>
      <c r="V233" s="10">
        <f t="shared" si="10"/>
        <v>63017.819850777974</v>
      </c>
    </row>
    <row r="234" spans="1:22" ht="16" x14ac:dyDescent="0.2">
      <c r="A234">
        <v>215</v>
      </c>
      <c r="B234" t="s">
        <v>101</v>
      </c>
      <c r="C234">
        <v>1</v>
      </c>
      <c r="D234" t="s">
        <v>103</v>
      </c>
      <c r="E234">
        <v>8</v>
      </c>
      <c r="F234">
        <v>14</v>
      </c>
      <c r="G234">
        <v>6</v>
      </c>
      <c r="H234">
        <v>443000</v>
      </c>
      <c r="I234">
        <v>26580</v>
      </c>
      <c r="J234">
        <v>9857.8198507783309</v>
      </c>
      <c r="K234">
        <v>26580</v>
      </c>
      <c r="L234">
        <v>506017.81985077797</v>
      </c>
      <c r="M234">
        <v>886</v>
      </c>
      <c r="N234">
        <v>3986.99999999999</v>
      </c>
      <c r="O234">
        <v>360</v>
      </c>
      <c r="P234">
        <v>300</v>
      </c>
      <c r="Q234">
        <v>5533</v>
      </c>
      <c r="R234">
        <v>4430</v>
      </c>
      <c r="S234">
        <v>6072.2138382093399</v>
      </c>
      <c r="T234">
        <v>13290</v>
      </c>
      <c r="U234">
        <v>15180.534595523301</v>
      </c>
      <c r="V234" s="10">
        <f t="shared" si="10"/>
        <v>63017.819850777974</v>
      </c>
    </row>
    <row r="235" spans="1:22" ht="16" x14ac:dyDescent="0.2">
      <c r="A235">
        <v>221</v>
      </c>
      <c r="B235" t="s">
        <v>101</v>
      </c>
      <c r="C235">
        <v>1</v>
      </c>
      <c r="D235" t="s">
        <v>102</v>
      </c>
      <c r="E235">
        <v>9</v>
      </c>
      <c r="F235">
        <v>14</v>
      </c>
      <c r="G235">
        <v>5</v>
      </c>
      <c r="H235">
        <v>338000</v>
      </c>
      <c r="I235">
        <v>27040</v>
      </c>
      <c r="J235">
        <v>5568.9637343662098</v>
      </c>
      <c r="K235">
        <v>27040</v>
      </c>
      <c r="L235">
        <v>397648.963734366</v>
      </c>
      <c r="M235">
        <v>563.33333333333303</v>
      </c>
      <c r="N235">
        <v>2534.99999999999</v>
      </c>
      <c r="O235">
        <v>300</v>
      </c>
      <c r="P235">
        <v>250</v>
      </c>
      <c r="Q235">
        <v>3648.3333333333298</v>
      </c>
      <c r="R235">
        <v>3380</v>
      </c>
      <c r="S235">
        <v>4771.78756481239</v>
      </c>
      <c r="T235">
        <v>10140</v>
      </c>
      <c r="U235">
        <v>11929.468912030899</v>
      </c>
      <c r="V235" s="10">
        <f t="shared" si="10"/>
        <v>59648.963734366</v>
      </c>
    </row>
    <row r="236" spans="1:22" ht="16" x14ac:dyDescent="0.2">
      <c r="A236">
        <v>222</v>
      </c>
      <c r="B236" t="s">
        <v>101</v>
      </c>
      <c r="C236">
        <v>1</v>
      </c>
      <c r="D236" t="s">
        <v>102</v>
      </c>
      <c r="E236">
        <v>9</v>
      </c>
      <c r="F236">
        <v>14</v>
      </c>
      <c r="G236">
        <v>5</v>
      </c>
      <c r="H236">
        <v>338000</v>
      </c>
      <c r="I236">
        <v>27040</v>
      </c>
      <c r="J236">
        <v>5568.9637343662098</v>
      </c>
      <c r="K236">
        <v>27040</v>
      </c>
      <c r="L236">
        <v>397648.963734366</v>
      </c>
      <c r="M236">
        <v>563.33333333333303</v>
      </c>
      <c r="N236">
        <v>2534.99999999999</v>
      </c>
      <c r="O236">
        <v>300</v>
      </c>
      <c r="P236">
        <v>250</v>
      </c>
      <c r="Q236">
        <v>3648.3333333333298</v>
      </c>
      <c r="R236">
        <v>3380</v>
      </c>
      <c r="S236">
        <v>4771.78756481239</v>
      </c>
      <c r="T236">
        <v>10140</v>
      </c>
      <c r="U236">
        <v>11929.468912030899</v>
      </c>
      <c r="V236" s="10">
        <f t="shared" si="10"/>
        <v>59648.963734366</v>
      </c>
    </row>
    <row r="237" spans="1:22" ht="16" x14ac:dyDescent="0.2">
      <c r="A237">
        <v>225</v>
      </c>
      <c r="B237" t="s">
        <v>101</v>
      </c>
      <c r="C237">
        <v>1</v>
      </c>
      <c r="D237" t="s">
        <v>102</v>
      </c>
      <c r="E237">
        <v>9</v>
      </c>
      <c r="F237">
        <v>14</v>
      </c>
      <c r="G237">
        <v>5</v>
      </c>
      <c r="H237">
        <v>338000</v>
      </c>
      <c r="I237">
        <v>27040</v>
      </c>
      <c r="J237">
        <v>5568.9637343662098</v>
      </c>
      <c r="K237">
        <v>27040</v>
      </c>
      <c r="L237">
        <v>397648.963734366</v>
      </c>
      <c r="M237">
        <v>563.33333333333303</v>
      </c>
      <c r="N237">
        <v>2534.99999999999</v>
      </c>
      <c r="O237">
        <v>300</v>
      </c>
      <c r="P237">
        <v>250</v>
      </c>
      <c r="Q237">
        <v>3648.3333333333298</v>
      </c>
      <c r="R237">
        <v>3380</v>
      </c>
      <c r="S237">
        <v>4771.78756481239</v>
      </c>
      <c r="T237">
        <v>10140</v>
      </c>
      <c r="U237">
        <v>11929.468912030899</v>
      </c>
      <c r="V237" s="10">
        <f t="shared" si="10"/>
        <v>59648.963734366</v>
      </c>
    </row>
    <row r="238" spans="1:22" ht="16" x14ac:dyDescent="0.2">
      <c r="A238">
        <v>229</v>
      </c>
      <c r="B238" t="s">
        <v>101</v>
      </c>
      <c r="C238">
        <v>1</v>
      </c>
      <c r="D238" t="s">
        <v>102</v>
      </c>
      <c r="E238">
        <v>9</v>
      </c>
      <c r="F238">
        <v>14</v>
      </c>
      <c r="G238">
        <v>5</v>
      </c>
      <c r="H238">
        <v>338000</v>
      </c>
      <c r="I238">
        <v>27040</v>
      </c>
      <c r="J238">
        <v>5568.9637343662098</v>
      </c>
      <c r="K238">
        <v>27040</v>
      </c>
      <c r="L238">
        <v>397648.963734366</v>
      </c>
      <c r="M238">
        <v>563.33333333333303</v>
      </c>
      <c r="N238">
        <v>2534.99999999999</v>
      </c>
      <c r="O238">
        <v>300</v>
      </c>
      <c r="P238">
        <v>250</v>
      </c>
      <c r="Q238">
        <v>3648.3333333333298</v>
      </c>
      <c r="R238">
        <v>3380</v>
      </c>
      <c r="S238">
        <v>4771.78756481239</v>
      </c>
      <c r="T238">
        <v>10140</v>
      </c>
      <c r="U238">
        <v>11929.468912030899</v>
      </c>
      <c r="V238" s="10">
        <f t="shared" si="10"/>
        <v>59648.963734366</v>
      </c>
    </row>
    <row r="239" spans="1:22" ht="16" x14ac:dyDescent="0.2">
      <c r="A239">
        <v>231</v>
      </c>
      <c r="B239" t="s">
        <v>101</v>
      </c>
      <c r="C239">
        <v>1</v>
      </c>
      <c r="D239" t="s">
        <v>102</v>
      </c>
      <c r="E239">
        <v>9</v>
      </c>
      <c r="F239">
        <v>14</v>
      </c>
      <c r="G239">
        <v>5</v>
      </c>
      <c r="H239">
        <v>338000</v>
      </c>
      <c r="I239">
        <v>27040</v>
      </c>
      <c r="J239">
        <v>5568.9637343662098</v>
      </c>
      <c r="K239">
        <v>27040</v>
      </c>
      <c r="L239">
        <v>397648.963734366</v>
      </c>
      <c r="M239">
        <v>563.33333333333303</v>
      </c>
      <c r="N239">
        <v>2534.99999999999</v>
      </c>
      <c r="O239">
        <v>300</v>
      </c>
      <c r="P239">
        <v>250</v>
      </c>
      <c r="Q239">
        <v>3648.3333333333298</v>
      </c>
      <c r="R239">
        <v>3380</v>
      </c>
      <c r="S239">
        <v>4771.78756481239</v>
      </c>
      <c r="T239">
        <v>10140</v>
      </c>
      <c r="U239">
        <v>11929.468912030899</v>
      </c>
      <c r="V239" s="10">
        <f t="shared" si="10"/>
        <v>59648.963734366</v>
      </c>
    </row>
    <row r="240" spans="1:22" ht="16" x14ac:dyDescent="0.2">
      <c r="A240">
        <v>232</v>
      </c>
      <c r="B240" t="s">
        <v>101</v>
      </c>
      <c r="C240">
        <v>1</v>
      </c>
      <c r="D240" t="s">
        <v>103</v>
      </c>
      <c r="E240">
        <v>9</v>
      </c>
      <c r="F240">
        <v>14</v>
      </c>
      <c r="G240">
        <v>5</v>
      </c>
      <c r="H240">
        <v>443000</v>
      </c>
      <c r="I240">
        <v>26580</v>
      </c>
      <c r="J240">
        <v>8199.7467798370599</v>
      </c>
      <c r="K240">
        <v>26580</v>
      </c>
      <c r="L240">
        <v>504359.74677983701</v>
      </c>
      <c r="M240">
        <v>738.33333333333303</v>
      </c>
      <c r="N240">
        <v>3322.49999999999</v>
      </c>
      <c r="O240">
        <v>300</v>
      </c>
      <c r="P240">
        <v>250</v>
      </c>
      <c r="Q240">
        <v>4610.8333333333303</v>
      </c>
      <c r="R240">
        <v>4430</v>
      </c>
      <c r="S240">
        <v>6052.3169613580403</v>
      </c>
      <c r="T240">
        <v>13290</v>
      </c>
      <c r="U240">
        <v>15130.7924033951</v>
      </c>
      <c r="V240" s="10">
        <f t="shared" si="10"/>
        <v>61359.746779837005</v>
      </c>
    </row>
    <row r="241" spans="1:22" ht="16" x14ac:dyDescent="0.2">
      <c r="A241">
        <v>235</v>
      </c>
      <c r="B241" t="s">
        <v>101</v>
      </c>
      <c r="C241">
        <v>1</v>
      </c>
      <c r="D241" t="s">
        <v>103</v>
      </c>
      <c r="E241">
        <v>9</v>
      </c>
      <c r="F241">
        <v>14</v>
      </c>
      <c r="G241">
        <v>5</v>
      </c>
      <c r="H241">
        <v>443000</v>
      </c>
      <c r="I241">
        <v>26580</v>
      </c>
      <c r="J241">
        <v>8199.7467798370599</v>
      </c>
      <c r="K241">
        <v>26580</v>
      </c>
      <c r="L241">
        <v>504359.74677983701</v>
      </c>
      <c r="M241">
        <v>738.33333333333303</v>
      </c>
      <c r="N241">
        <v>3322.49999999999</v>
      </c>
      <c r="O241">
        <v>300</v>
      </c>
      <c r="P241">
        <v>250</v>
      </c>
      <c r="Q241">
        <v>4610.8333333333303</v>
      </c>
      <c r="R241">
        <v>4430</v>
      </c>
      <c r="S241">
        <v>6052.3169613580403</v>
      </c>
      <c r="T241">
        <v>13290</v>
      </c>
      <c r="U241">
        <v>15130.7924033951</v>
      </c>
      <c r="V241" s="10">
        <f t="shared" si="10"/>
        <v>61359.746779837005</v>
      </c>
    </row>
    <row r="242" spans="1:22" ht="16" x14ac:dyDescent="0.2">
      <c r="A242">
        <v>237</v>
      </c>
      <c r="B242" t="s">
        <v>101</v>
      </c>
      <c r="C242">
        <v>1</v>
      </c>
      <c r="D242" t="s">
        <v>103</v>
      </c>
      <c r="E242">
        <v>9</v>
      </c>
      <c r="F242">
        <v>14</v>
      </c>
      <c r="G242">
        <v>5</v>
      </c>
      <c r="H242">
        <v>443000</v>
      </c>
      <c r="I242">
        <v>26580</v>
      </c>
      <c r="J242">
        <v>8199.7467798370599</v>
      </c>
      <c r="K242">
        <v>26580</v>
      </c>
      <c r="L242">
        <v>504359.74677983701</v>
      </c>
      <c r="M242">
        <v>738.33333333333303</v>
      </c>
      <c r="N242">
        <v>3322.49999999999</v>
      </c>
      <c r="O242">
        <v>300</v>
      </c>
      <c r="P242">
        <v>250</v>
      </c>
      <c r="Q242">
        <v>4610.8333333333303</v>
      </c>
      <c r="R242">
        <v>4430</v>
      </c>
      <c r="S242">
        <v>6052.3169613580403</v>
      </c>
      <c r="T242">
        <v>13290</v>
      </c>
      <c r="U242">
        <v>15130.7924033951</v>
      </c>
      <c r="V242" s="10">
        <f t="shared" si="10"/>
        <v>61359.746779837005</v>
      </c>
    </row>
    <row r="243" spans="1:22" ht="16" x14ac:dyDescent="0.2">
      <c r="A243">
        <v>240</v>
      </c>
      <c r="B243" t="s">
        <v>101</v>
      </c>
      <c r="C243">
        <v>1</v>
      </c>
      <c r="D243" t="s">
        <v>103</v>
      </c>
      <c r="E243">
        <v>9</v>
      </c>
      <c r="F243">
        <v>14</v>
      </c>
      <c r="G243">
        <v>5</v>
      </c>
      <c r="H243">
        <v>443000</v>
      </c>
      <c r="I243">
        <v>26580</v>
      </c>
      <c r="J243">
        <v>8199.7467798370599</v>
      </c>
      <c r="K243">
        <v>26580</v>
      </c>
      <c r="L243">
        <v>504359.74677983701</v>
      </c>
      <c r="M243">
        <v>738.33333333333303</v>
      </c>
      <c r="N243">
        <v>3322.49999999999</v>
      </c>
      <c r="O243">
        <v>300</v>
      </c>
      <c r="P243">
        <v>250</v>
      </c>
      <c r="Q243">
        <v>4610.8333333333303</v>
      </c>
      <c r="R243">
        <v>4430</v>
      </c>
      <c r="S243">
        <v>6052.3169613580403</v>
      </c>
      <c r="T243">
        <v>13290</v>
      </c>
      <c r="U243">
        <v>15130.7924033951</v>
      </c>
      <c r="V243" s="10">
        <f t="shared" si="10"/>
        <v>61359.746779837005</v>
      </c>
    </row>
    <row r="244" spans="1:22" ht="16" x14ac:dyDescent="0.2">
      <c r="A244">
        <v>241</v>
      </c>
      <c r="B244" t="s">
        <v>101</v>
      </c>
      <c r="C244">
        <v>1</v>
      </c>
      <c r="D244" t="s">
        <v>103</v>
      </c>
      <c r="E244">
        <v>9</v>
      </c>
      <c r="F244">
        <v>14</v>
      </c>
      <c r="G244">
        <v>5</v>
      </c>
      <c r="H244">
        <v>443000</v>
      </c>
      <c r="I244">
        <v>26580</v>
      </c>
      <c r="J244">
        <v>8199.7467798370599</v>
      </c>
      <c r="K244">
        <v>26580</v>
      </c>
      <c r="L244">
        <v>504359.74677983701</v>
      </c>
      <c r="M244">
        <v>738.33333333333303</v>
      </c>
      <c r="N244">
        <v>3322.49999999999</v>
      </c>
      <c r="O244">
        <v>300</v>
      </c>
      <c r="P244">
        <v>250</v>
      </c>
      <c r="Q244">
        <v>4610.8333333333303</v>
      </c>
      <c r="R244">
        <v>4430</v>
      </c>
      <c r="S244">
        <v>6052.3169613580403</v>
      </c>
      <c r="T244">
        <v>13290</v>
      </c>
      <c r="U244">
        <v>15130.7924033951</v>
      </c>
      <c r="V244" s="10">
        <f t="shared" si="10"/>
        <v>61359.746779837005</v>
      </c>
    </row>
    <row r="245" spans="1:22" ht="16" x14ac:dyDescent="0.2">
      <c r="A245">
        <v>243</v>
      </c>
      <c r="B245" t="s">
        <v>101</v>
      </c>
      <c r="C245">
        <v>1</v>
      </c>
      <c r="D245" t="s">
        <v>103</v>
      </c>
      <c r="E245">
        <v>9</v>
      </c>
      <c r="F245">
        <v>14</v>
      </c>
      <c r="G245">
        <v>5</v>
      </c>
      <c r="H245">
        <v>443000</v>
      </c>
      <c r="I245">
        <v>26580</v>
      </c>
      <c r="J245">
        <v>8199.7467798370599</v>
      </c>
      <c r="K245">
        <v>26580</v>
      </c>
      <c r="L245">
        <v>504359.74677983701</v>
      </c>
      <c r="M245">
        <v>738.33333333333303</v>
      </c>
      <c r="N245">
        <v>3322.49999999999</v>
      </c>
      <c r="O245">
        <v>300</v>
      </c>
      <c r="P245">
        <v>250</v>
      </c>
      <c r="Q245">
        <v>4610.8333333333303</v>
      </c>
      <c r="R245">
        <v>4430</v>
      </c>
      <c r="S245">
        <v>6052.3169613580403</v>
      </c>
      <c r="T245">
        <v>13290</v>
      </c>
      <c r="U245">
        <v>15130.7924033951</v>
      </c>
      <c r="V245" s="10">
        <f t="shared" si="10"/>
        <v>61359.746779837005</v>
      </c>
    </row>
    <row r="246" spans="1:22" ht="16" x14ac:dyDescent="0.2">
      <c r="A246">
        <v>252</v>
      </c>
      <c r="B246" t="s">
        <v>101</v>
      </c>
      <c r="C246">
        <v>1</v>
      </c>
      <c r="D246" t="s">
        <v>102</v>
      </c>
      <c r="E246">
        <v>10</v>
      </c>
      <c r="F246">
        <v>14</v>
      </c>
      <c r="G246">
        <v>4</v>
      </c>
      <c r="H246">
        <v>338000</v>
      </c>
      <c r="I246">
        <v>27040</v>
      </c>
      <c r="J246">
        <v>4447.8784912198998</v>
      </c>
      <c r="K246">
        <v>27040</v>
      </c>
      <c r="L246">
        <v>396527.87849121902</v>
      </c>
      <c r="M246">
        <v>450.666666666666</v>
      </c>
      <c r="N246">
        <v>2027.99999999999</v>
      </c>
      <c r="O246">
        <v>240</v>
      </c>
      <c r="P246">
        <v>200</v>
      </c>
      <c r="Q246">
        <v>2918.6666666666601</v>
      </c>
      <c r="R246">
        <v>3380</v>
      </c>
      <c r="S246">
        <v>4758.3345418946301</v>
      </c>
      <c r="T246">
        <v>10140</v>
      </c>
      <c r="U246">
        <v>11895.836354736501</v>
      </c>
      <c r="V246" s="10">
        <f t="shared" si="10"/>
        <v>58527.878491219017</v>
      </c>
    </row>
    <row r="247" spans="1:22" ht="16" x14ac:dyDescent="0.2">
      <c r="A247">
        <v>253</v>
      </c>
      <c r="B247" t="s">
        <v>101</v>
      </c>
      <c r="C247">
        <v>1</v>
      </c>
      <c r="D247" t="s">
        <v>102</v>
      </c>
      <c r="E247">
        <v>10</v>
      </c>
      <c r="F247">
        <v>14</v>
      </c>
      <c r="G247">
        <v>4</v>
      </c>
      <c r="H247">
        <v>338000</v>
      </c>
      <c r="I247">
        <v>27040</v>
      </c>
      <c r="J247">
        <v>4447.8784912198998</v>
      </c>
      <c r="K247">
        <v>27040</v>
      </c>
      <c r="L247">
        <v>396527.87849121902</v>
      </c>
      <c r="M247">
        <v>450.666666666666</v>
      </c>
      <c r="N247">
        <v>2027.99999999999</v>
      </c>
      <c r="O247">
        <v>240</v>
      </c>
      <c r="P247">
        <v>200</v>
      </c>
      <c r="Q247">
        <v>2918.6666666666601</v>
      </c>
      <c r="R247">
        <v>3380</v>
      </c>
      <c r="S247">
        <v>4758.3345418946301</v>
      </c>
      <c r="T247">
        <v>10140</v>
      </c>
      <c r="U247">
        <v>11895.836354736501</v>
      </c>
      <c r="V247" s="10">
        <f t="shared" si="10"/>
        <v>58527.878491219017</v>
      </c>
    </row>
    <row r="248" spans="1:22" ht="16" x14ac:dyDescent="0.2">
      <c r="A248">
        <v>254</v>
      </c>
      <c r="B248" t="s">
        <v>101</v>
      </c>
      <c r="C248">
        <v>1</v>
      </c>
      <c r="D248" t="s">
        <v>102</v>
      </c>
      <c r="E248">
        <v>10</v>
      </c>
      <c r="F248">
        <v>14</v>
      </c>
      <c r="G248">
        <v>4</v>
      </c>
      <c r="H248">
        <v>338000</v>
      </c>
      <c r="I248">
        <v>27040</v>
      </c>
      <c r="J248">
        <v>4447.8784912198998</v>
      </c>
      <c r="K248">
        <v>27040</v>
      </c>
      <c r="L248">
        <v>396527.87849121902</v>
      </c>
      <c r="M248">
        <v>450.666666666666</v>
      </c>
      <c r="N248">
        <v>2027.99999999999</v>
      </c>
      <c r="O248">
        <v>240</v>
      </c>
      <c r="P248">
        <v>200</v>
      </c>
      <c r="Q248">
        <v>2918.6666666666601</v>
      </c>
      <c r="R248">
        <v>3380</v>
      </c>
      <c r="S248">
        <v>4758.3345418946301</v>
      </c>
      <c r="T248">
        <v>10140</v>
      </c>
      <c r="U248">
        <v>11895.836354736501</v>
      </c>
      <c r="V248" s="10">
        <f t="shared" si="10"/>
        <v>58527.878491219017</v>
      </c>
    </row>
    <row r="249" spans="1:22" ht="16" x14ac:dyDescent="0.2">
      <c r="A249">
        <v>258</v>
      </c>
      <c r="B249" t="s">
        <v>101</v>
      </c>
      <c r="C249">
        <v>1</v>
      </c>
      <c r="D249" t="s">
        <v>102</v>
      </c>
      <c r="E249">
        <v>10</v>
      </c>
      <c r="F249">
        <v>14</v>
      </c>
      <c r="G249">
        <v>4</v>
      </c>
      <c r="H249">
        <v>338000</v>
      </c>
      <c r="I249">
        <v>27040</v>
      </c>
      <c r="J249">
        <v>4447.8784912198998</v>
      </c>
      <c r="K249">
        <v>27040</v>
      </c>
      <c r="L249">
        <v>396527.87849121902</v>
      </c>
      <c r="M249">
        <v>450.666666666666</v>
      </c>
      <c r="N249">
        <v>2027.99999999999</v>
      </c>
      <c r="O249">
        <v>240</v>
      </c>
      <c r="P249">
        <v>200</v>
      </c>
      <c r="Q249">
        <v>2918.6666666666601</v>
      </c>
      <c r="R249">
        <v>3380</v>
      </c>
      <c r="S249">
        <v>4758.3345418946301</v>
      </c>
      <c r="T249">
        <v>10140</v>
      </c>
      <c r="U249">
        <v>11895.836354736501</v>
      </c>
      <c r="V249" s="10">
        <f t="shared" si="10"/>
        <v>58527.878491219017</v>
      </c>
    </row>
    <row r="250" spans="1:22" ht="16" x14ac:dyDescent="0.2">
      <c r="A250">
        <v>259</v>
      </c>
      <c r="B250" t="s">
        <v>101</v>
      </c>
      <c r="C250">
        <v>1</v>
      </c>
      <c r="D250" t="s">
        <v>102</v>
      </c>
      <c r="E250">
        <v>10</v>
      </c>
      <c r="F250">
        <v>14</v>
      </c>
      <c r="G250">
        <v>4</v>
      </c>
      <c r="H250">
        <v>338000</v>
      </c>
      <c r="I250">
        <v>27040</v>
      </c>
      <c r="J250">
        <v>4447.8784912198998</v>
      </c>
      <c r="K250">
        <v>27040</v>
      </c>
      <c r="L250">
        <v>396527.87849121902</v>
      </c>
      <c r="M250">
        <v>450.666666666666</v>
      </c>
      <c r="N250">
        <v>2027.99999999999</v>
      </c>
      <c r="O250">
        <v>240</v>
      </c>
      <c r="P250">
        <v>200</v>
      </c>
      <c r="Q250">
        <v>2918.6666666666601</v>
      </c>
      <c r="R250">
        <v>3380</v>
      </c>
      <c r="S250">
        <v>4758.3345418946301</v>
      </c>
      <c r="T250">
        <v>10140</v>
      </c>
      <c r="U250">
        <v>11895.836354736501</v>
      </c>
      <c r="V250" s="10">
        <f t="shared" si="10"/>
        <v>58527.878491219017</v>
      </c>
    </row>
    <row r="251" spans="1:22" ht="16" x14ac:dyDescent="0.2">
      <c r="V251" s="11">
        <f>SUM(V227:V250)</f>
        <v>1535479.7681308473</v>
      </c>
    </row>
    <row r="252" spans="1:22" ht="16" x14ac:dyDescent="0.2">
      <c r="A252">
        <v>217</v>
      </c>
      <c r="B252" t="s">
        <v>101</v>
      </c>
      <c r="C252">
        <v>1</v>
      </c>
      <c r="D252" t="s">
        <v>104</v>
      </c>
      <c r="E252">
        <v>8</v>
      </c>
      <c r="F252">
        <v>15</v>
      </c>
      <c r="G252">
        <v>7</v>
      </c>
      <c r="H252">
        <v>676000</v>
      </c>
      <c r="I252">
        <v>33800</v>
      </c>
      <c r="J252">
        <v>19515.992356670598</v>
      </c>
      <c r="K252">
        <v>33800</v>
      </c>
      <c r="L252">
        <v>763115.99235666997</v>
      </c>
      <c r="M252">
        <v>1577.3333333333301</v>
      </c>
      <c r="N252">
        <v>7097.99999999999</v>
      </c>
      <c r="O252">
        <v>420</v>
      </c>
      <c r="P252">
        <v>350</v>
      </c>
      <c r="Q252">
        <v>9445.3333333333303</v>
      </c>
      <c r="R252">
        <v>6760</v>
      </c>
      <c r="S252">
        <v>9157.3919082800403</v>
      </c>
      <c r="T252">
        <v>20280</v>
      </c>
      <c r="U252">
        <v>22893.479770700102</v>
      </c>
      <c r="V252" s="10">
        <f t="shared" ref="V252:V281" si="11">L252-H252</f>
        <v>87115.992356669973</v>
      </c>
    </row>
    <row r="253" spans="1:22" ht="16" x14ac:dyDescent="0.2">
      <c r="A253">
        <v>218</v>
      </c>
      <c r="B253" t="s">
        <v>101</v>
      </c>
      <c r="C253">
        <v>1</v>
      </c>
      <c r="D253" t="s">
        <v>104</v>
      </c>
      <c r="E253">
        <v>8</v>
      </c>
      <c r="F253">
        <v>15</v>
      </c>
      <c r="G253">
        <v>7</v>
      </c>
      <c r="H253">
        <v>676000</v>
      </c>
      <c r="I253">
        <v>33800</v>
      </c>
      <c r="J253">
        <v>19515.992356670598</v>
      </c>
      <c r="K253">
        <v>33800</v>
      </c>
      <c r="L253">
        <v>763115.99235666997</v>
      </c>
      <c r="M253">
        <v>1577.3333333333301</v>
      </c>
      <c r="N253">
        <v>7097.99999999999</v>
      </c>
      <c r="O253">
        <v>420</v>
      </c>
      <c r="P253">
        <v>350</v>
      </c>
      <c r="Q253">
        <v>9445.3333333333303</v>
      </c>
      <c r="R253">
        <v>6760</v>
      </c>
      <c r="S253">
        <v>9157.3919082800403</v>
      </c>
      <c r="T253">
        <v>20280</v>
      </c>
      <c r="U253">
        <v>22893.479770700102</v>
      </c>
      <c r="V253" s="10">
        <f t="shared" si="11"/>
        <v>87115.992356669973</v>
      </c>
    </row>
    <row r="254" spans="1:22" ht="16" x14ac:dyDescent="0.2">
      <c r="A254">
        <v>233</v>
      </c>
      <c r="B254" t="s">
        <v>101</v>
      </c>
      <c r="C254">
        <v>1</v>
      </c>
      <c r="D254" t="s">
        <v>103</v>
      </c>
      <c r="E254">
        <v>9</v>
      </c>
      <c r="F254">
        <v>15</v>
      </c>
      <c r="G254">
        <v>6</v>
      </c>
      <c r="H254">
        <v>443000</v>
      </c>
      <c r="I254">
        <v>26580</v>
      </c>
      <c r="J254">
        <v>9857.8198507783309</v>
      </c>
      <c r="K254">
        <v>26580</v>
      </c>
      <c r="L254">
        <v>506017.81985077797</v>
      </c>
      <c r="M254">
        <v>886</v>
      </c>
      <c r="N254">
        <v>3986.99999999999</v>
      </c>
      <c r="O254">
        <v>360</v>
      </c>
      <c r="P254">
        <v>300</v>
      </c>
      <c r="Q254">
        <v>5533</v>
      </c>
      <c r="R254">
        <v>4430</v>
      </c>
      <c r="S254">
        <v>6072.2138382093399</v>
      </c>
      <c r="T254">
        <v>13290</v>
      </c>
      <c r="U254">
        <v>15180.534595523301</v>
      </c>
      <c r="V254" s="10">
        <f t="shared" si="11"/>
        <v>63017.819850777974</v>
      </c>
    </row>
    <row r="255" spans="1:22" ht="16" x14ac:dyDescent="0.2">
      <c r="A255">
        <v>234</v>
      </c>
      <c r="B255" t="s">
        <v>101</v>
      </c>
      <c r="C255">
        <v>1</v>
      </c>
      <c r="D255" t="s">
        <v>103</v>
      </c>
      <c r="E255">
        <v>9</v>
      </c>
      <c r="F255">
        <v>15</v>
      </c>
      <c r="G255">
        <v>6</v>
      </c>
      <c r="H255">
        <v>443000</v>
      </c>
      <c r="I255">
        <v>26580</v>
      </c>
      <c r="J255">
        <v>9857.8198507783309</v>
      </c>
      <c r="K255">
        <v>26580</v>
      </c>
      <c r="L255">
        <v>506017.81985077797</v>
      </c>
      <c r="M255">
        <v>886</v>
      </c>
      <c r="N255">
        <v>3986.99999999999</v>
      </c>
      <c r="O255">
        <v>360</v>
      </c>
      <c r="P255">
        <v>300</v>
      </c>
      <c r="Q255">
        <v>5533</v>
      </c>
      <c r="R255">
        <v>4430</v>
      </c>
      <c r="S255">
        <v>6072.2138382093399</v>
      </c>
      <c r="T255">
        <v>13290</v>
      </c>
      <c r="U255">
        <v>15180.534595523301</v>
      </c>
      <c r="V255" s="10">
        <f t="shared" si="11"/>
        <v>63017.819850777974</v>
      </c>
    </row>
    <row r="256" spans="1:22" ht="16" x14ac:dyDescent="0.2">
      <c r="A256">
        <v>236</v>
      </c>
      <c r="B256" t="s">
        <v>101</v>
      </c>
      <c r="C256">
        <v>1</v>
      </c>
      <c r="D256" t="s">
        <v>103</v>
      </c>
      <c r="E256">
        <v>9</v>
      </c>
      <c r="F256">
        <v>15</v>
      </c>
      <c r="G256">
        <v>6</v>
      </c>
      <c r="H256">
        <v>443000</v>
      </c>
      <c r="I256">
        <v>26580</v>
      </c>
      <c r="J256">
        <v>9857.8198507783309</v>
      </c>
      <c r="K256">
        <v>26580</v>
      </c>
      <c r="L256">
        <v>506017.81985077797</v>
      </c>
      <c r="M256">
        <v>886</v>
      </c>
      <c r="N256">
        <v>3986.99999999999</v>
      </c>
      <c r="O256">
        <v>360</v>
      </c>
      <c r="P256">
        <v>300</v>
      </c>
      <c r="Q256">
        <v>5533</v>
      </c>
      <c r="R256">
        <v>4430</v>
      </c>
      <c r="S256">
        <v>6072.2138382093399</v>
      </c>
      <c r="T256">
        <v>13290</v>
      </c>
      <c r="U256">
        <v>15180.534595523301</v>
      </c>
      <c r="V256" s="10">
        <f t="shared" si="11"/>
        <v>63017.819850777974</v>
      </c>
    </row>
    <row r="257" spans="1:22" ht="16" x14ac:dyDescent="0.2">
      <c r="A257">
        <v>238</v>
      </c>
      <c r="B257" t="s">
        <v>101</v>
      </c>
      <c r="C257">
        <v>1</v>
      </c>
      <c r="D257" t="s">
        <v>103</v>
      </c>
      <c r="E257">
        <v>9</v>
      </c>
      <c r="F257">
        <v>15</v>
      </c>
      <c r="G257">
        <v>6</v>
      </c>
      <c r="H257">
        <v>443000</v>
      </c>
      <c r="I257">
        <v>26580</v>
      </c>
      <c r="J257">
        <v>9857.8198507783309</v>
      </c>
      <c r="K257">
        <v>26580</v>
      </c>
      <c r="L257">
        <v>506017.81985077797</v>
      </c>
      <c r="M257">
        <v>886</v>
      </c>
      <c r="N257">
        <v>3986.99999999999</v>
      </c>
      <c r="O257">
        <v>360</v>
      </c>
      <c r="P257">
        <v>300</v>
      </c>
      <c r="Q257">
        <v>5533</v>
      </c>
      <c r="R257">
        <v>4430</v>
      </c>
      <c r="S257">
        <v>6072.2138382093399</v>
      </c>
      <c r="T257">
        <v>13290</v>
      </c>
      <c r="U257">
        <v>15180.534595523301</v>
      </c>
      <c r="V257" s="10">
        <f t="shared" si="11"/>
        <v>63017.819850777974</v>
      </c>
    </row>
    <row r="258" spans="1:22" ht="16" x14ac:dyDescent="0.2">
      <c r="A258">
        <v>239</v>
      </c>
      <c r="B258" t="s">
        <v>101</v>
      </c>
      <c r="C258">
        <v>1</v>
      </c>
      <c r="D258" t="s">
        <v>103</v>
      </c>
      <c r="E258">
        <v>9</v>
      </c>
      <c r="F258">
        <v>15</v>
      </c>
      <c r="G258">
        <v>6</v>
      </c>
      <c r="H258">
        <v>443000</v>
      </c>
      <c r="I258">
        <v>26580</v>
      </c>
      <c r="J258">
        <v>9857.8198507783309</v>
      </c>
      <c r="K258">
        <v>26580</v>
      </c>
      <c r="L258">
        <v>506017.81985077797</v>
      </c>
      <c r="M258">
        <v>886</v>
      </c>
      <c r="N258">
        <v>3986.99999999999</v>
      </c>
      <c r="O258">
        <v>360</v>
      </c>
      <c r="P258">
        <v>300</v>
      </c>
      <c r="Q258">
        <v>5533</v>
      </c>
      <c r="R258">
        <v>4430</v>
      </c>
      <c r="S258">
        <v>6072.2138382093399</v>
      </c>
      <c r="T258">
        <v>13290</v>
      </c>
      <c r="U258">
        <v>15180.534595523301</v>
      </c>
      <c r="V258" s="10">
        <f t="shared" si="11"/>
        <v>63017.819850777974</v>
      </c>
    </row>
    <row r="259" spans="1:22" ht="16" x14ac:dyDescent="0.2">
      <c r="A259">
        <v>242</v>
      </c>
      <c r="B259" t="s">
        <v>101</v>
      </c>
      <c r="C259">
        <v>1</v>
      </c>
      <c r="D259" t="s">
        <v>103</v>
      </c>
      <c r="E259">
        <v>9</v>
      </c>
      <c r="F259">
        <v>15</v>
      </c>
      <c r="G259">
        <v>6</v>
      </c>
      <c r="H259">
        <v>443000</v>
      </c>
      <c r="I259">
        <v>26580</v>
      </c>
      <c r="J259">
        <v>9857.8198507783309</v>
      </c>
      <c r="K259">
        <v>26580</v>
      </c>
      <c r="L259">
        <v>506017.81985077797</v>
      </c>
      <c r="M259">
        <v>886</v>
      </c>
      <c r="N259">
        <v>3986.99999999999</v>
      </c>
      <c r="O259">
        <v>360</v>
      </c>
      <c r="P259">
        <v>300</v>
      </c>
      <c r="Q259">
        <v>5533</v>
      </c>
      <c r="R259">
        <v>4430</v>
      </c>
      <c r="S259">
        <v>6072.2138382093399</v>
      </c>
      <c r="T259">
        <v>13290</v>
      </c>
      <c r="U259">
        <v>15180.534595523301</v>
      </c>
      <c r="V259" s="10">
        <f t="shared" si="11"/>
        <v>63017.819850777974</v>
      </c>
    </row>
    <row r="260" spans="1:22" ht="16" x14ac:dyDescent="0.2">
      <c r="A260">
        <v>244</v>
      </c>
      <c r="B260" t="s">
        <v>101</v>
      </c>
      <c r="C260">
        <v>1</v>
      </c>
      <c r="D260" t="s">
        <v>103</v>
      </c>
      <c r="E260">
        <v>9</v>
      </c>
      <c r="F260">
        <v>15</v>
      </c>
      <c r="G260">
        <v>6</v>
      </c>
      <c r="H260">
        <v>443000</v>
      </c>
      <c r="I260">
        <v>26580</v>
      </c>
      <c r="J260">
        <v>9857.8198507783309</v>
      </c>
      <c r="K260">
        <v>26580</v>
      </c>
      <c r="L260">
        <v>506017.81985077797</v>
      </c>
      <c r="M260">
        <v>886</v>
      </c>
      <c r="N260">
        <v>3986.99999999999</v>
      </c>
      <c r="O260">
        <v>360</v>
      </c>
      <c r="P260">
        <v>300</v>
      </c>
      <c r="Q260">
        <v>5533</v>
      </c>
      <c r="R260">
        <v>4430</v>
      </c>
      <c r="S260">
        <v>6072.2138382093399</v>
      </c>
      <c r="T260">
        <v>13290</v>
      </c>
      <c r="U260">
        <v>15180.534595523301</v>
      </c>
      <c r="V260" s="10">
        <f t="shared" si="11"/>
        <v>63017.819850777974</v>
      </c>
    </row>
    <row r="261" spans="1:22" ht="16" x14ac:dyDescent="0.2">
      <c r="A261">
        <v>245</v>
      </c>
      <c r="B261" t="s">
        <v>101</v>
      </c>
      <c r="C261">
        <v>1</v>
      </c>
      <c r="D261" t="s">
        <v>103</v>
      </c>
      <c r="E261">
        <v>9</v>
      </c>
      <c r="F261">
        <v>15</v>
      </c>
      <c r="G261">
        <v>6</v>
      </c>
      <c r="H261">
        <v>443000</v>
      </c>
      <c r="I261">
        <v>26580</v>
      </c>
      <c r="J261">
        <v>9857.8198507783309</v>
      </c>
      <c r="K261">
        <v>26580</v>
      </c>
      <c r="L261">
        <v>506017.81985077797</v>
      </c>
      <c r="M261">
        <v>886</v>
      </c>
      <c r="N261">
        <v>3986.99999999999</v>
      </c>
      <c r="O261">
        <v>360</v>
      </c>
      <c r="P261">
        <v>300</v>
      </c>
      <c r="Q261">
        <v>5533</v>
      </c>
      <c r="R261">
        <v>4430</v>
      </c>
      <c r="S261">
        <v>6072.2138382093399</v>
      </c>
      <c r="T261">
        <v>13290</v>
      </c>
      <c r="U261">
        <v>15180.534595523301</v>
      </c>
      <c r="V261" s="10">
        <f t="shared" si="11"/>
        <v>63017.819850777974</v>
      </c>
    </row>
    <row r="262" spans="1:22" ht="16" x14ac:dyDescent="0.2">
      <c r="A262">
        <v>246</v>
      </c>
      <c r="B262" t="s">
        <v>101</v>
      </c>
      <c r="C262">
        <v>1</v>
      </c>
      <c r="D262" t="s">
        <v>103</v>
      </c>
      <c r="E262">
        <v>9</v>
      </c>
      <c r="F262">
        <v>15</v>
      </c>
      <c r="G262">
        <v>6</v>
      </c>
      <c r="H262">
        <v>443000</v>
      </c>
      <c r="I262">
        <v>26580</v>
      </c>
      <c r="J262">
        <v>9857.8198507783309</v>
      </c>
      <c r="K262">
        <v>26580</v>
      </c>
      <c r="L262">
        <v>506017.81985077797</v>
      </c>
      <c r="M262">
        <v>886</v>
      </c>
      <c r="N262">
        <v>3986.99999999999</v>
      </c>
      <c r="O262">
        <v>360</v>
      </c>
      <c r="P262">
        <v>300</v>
      </c>
      <c r="Q262">
        <v>5533</v>
      </c>
      <c r="R262">
        <v>4430</v>
      </c>
      <c r="S262">
        <v>6072.2138382093399</v>
      </c>
      <c r="T262">
        <v>13290</v>
      </c>
      <c r="U262">
        <v>15180.534595523301</v>
      </c>
      <c r="V262" s="10">
        <f t="shared" si="11"/>
        <v>63017.819850777974</v>
      </c>
    </row>
    <row r="263" spans="1:22" ht="16" x14ac:dyDescent="0.2">
      <c r="A263">
        <v>247</v>
      </c>
      <c r="B263" t="s">
        <v>101</v>
      </c>
      <c r="C263">
        <v>1</v>
      </c>
      <c r="D263" t="s">
        <v>104</v>
      </c>
      <c r="E263">
        <v>9</v>
      </c>
      <c r="F263">
        <v>15</v>
      </c>
      <c r="G263">
        <v>6</v>
      </c>
      <c r="H263">
        <v>676000</v>
      </c>
      <c r="I263">
        <v>33800</v>
      </c>
      <c r="J263">
        <v>16693.871778868899</v>
      </c>
      <c r="K263">
        <v>33800</v>
      </c>
      <c r="L263">
        <v>760293.87177886895</v>
      </c>
      <c r="M263">
        <v>1352</v>
      </c>
      <c r="N263">
        <v>6083.99999999999</v>
      </c>
      <c r="O263">
        <v>360</v>
      </c>
      <c r="P263">
        <v>300</v>
      </c>
      <c r="Q263">
        <v>8095.99999999999</v>
      </c>
      <c r="R263">
        <v>6760</v>
      </c>
      <c r="S263">
        <v>9123.5264613464205</v>
      </c>
      <c r="T263">
        <v>20280</v>
      </c>
      <c r="U263">
        <v>22808.816153365999</v>
      </c>
      <c r="V263" s="10">
        <f t="shared" si="11"/>
        <v>84293.871778868954</v>
      </c>
    </row>
    <row r="264" spans="1:22" ht="16" x14ac:dyDescent="0.2">
      <c r="A264">
        <v>249</v>
      </c>
      <c r="B264" t="s">
        <v>101</v>
      </c>
      <c r="C264">
        <v>1</v>
      </c>
      <c r="D264" t="s">
        <v>104</v>
      </c>
      <c r="E264">
        <v>9</v>
      </c>
      <c r="F264">
        <v>15</v>
      </c>
      <c r="G264">
        <v>6</v>
      </c>
      <c r="H264">
        <v>676000</v>
      </c>
      <c r="I264">
        <v>33800</v>
      </c>
      <c r="J264">
        <v>16693.871778868899</v>
      </c>
      <c r="K264">
        <v>33800</v>
      </c>
      <c r="L264">
        <v>760293.87177886895</v>
      </c>
      <c r="M264">
        <v>1352</v>
      </c>
      <c r="N264">
        <v>6083.99999999999</v>
      </c>
      <c r="O264">
        <v>360</v>
      </c>
      <c r="P264">
        <v>300</v>
      </c>
      <c r="Q264">
        <v>8095.99999999999</v>
      </c>
      <c r="R264">
        <v>6760</v>
      </c>
      <c r="S264">
        <v>9123.5264613464205</v>
      </c>
      <c r="T264">
        <v>20280</v>
      </c>
      <c r="U264">
        <v>22808.816153365999</v>
      </c>
      <c r="V264" s="10">
        <f t="shared" si="11"/>
        <v>84293.871778868954</v>
      </c>
    </row>
    <row r="265" spans="1:22" ht="16" x14ac:dyDescent="0.2">
      <c r="A265">
        <v>250</v>
      </c>
      <c r="B265" t="s">
        <v>101</v>
      </c>
      <c r="C265">
        <v>1</v>
      </c>
      <c r="D265" t="s">
        <v>104</v>
      </c>
      <c r="E265">
        <v>9</v>
      </c>
      <c r="F265">
        <v>15</v>
      </c>
      <c r="G265">
        <v>6</v>
      </c>
      <c r="H265">
        <v>676000</v>
      </c>
      <c r="I265">
        <v>33800</v>
      </c>
      <c r="J265">
        <v>16693.871778868899</v>
      </c>
      <c r="K265">
        <v>33800</v>
      </c>
      <c r="L265">
        <v>760293.87177886895</v>
      </c>
      <c r="M265">
        <v>1352</v>
      </c>
      <c r="N265">
        <v>6083.99999999999</v>
      </c>
      <c r="O265">
        <v>360</v>
      </c>
      <c r="P265">
        <v>300</v>
      </c>
      <c r="Q265">
        <v>8095.99999999999</v>
      </c>
      <c r="R265">
        <v>6760</v>
      </c>
      <c r="S265">
        <v>9123.5264613464205</v>
      </c>
      <c r="T265">
        <v>20280</v>
      </c>
      <c r="U265">
        <v>22808.816153365999</v>
      </c>
      <c r="V265" s="10">
        <f t="shared" si="11"/>
        <v>84293.871778868954</v>
      </c>
    </row>
    <row r="266" spans="1:22" ht="16" x14ac:dyDescent="0.2">
      <c r="A266">
        <v>251</v>
      </c>
      <c r="B266" t="s">
        <v>101</v>
      </c>
      <c r="C266">
        <v>1</v>
      </c>
      <c r="D266" t="s">
        <v>102</v>
      </c>
      <c r="E266">
        <v>10</v>
      </c>
      <c r="F266">
        <v>15</v>
      </c>
      <c r="G266">
        <v>5</v>
      </c>
      <c r="H266">
        <v>338000</v>
      </c>
      <c r="I266">
        <v>27040</v>
      </c>
      <c r="J266">
        <v>5568.9637343662098</v>
      </c>
      <c r="K266">
        <v>27040</v>
      </c>
      <c r="L266">
        <v>397648.963734366</v>
      </c>
      <c r="M266">
        <v>563.33333333333303</v>
      </c>
      <c r="N266">
        <v>2534.99999999999</v>
      </c>
      <c r="O266">
        <v>300</v>
      </c>
      <c r="P266">
        <v>250</v>
      </c>
      <c r="Q266">
        <v>3648.3333333333298</v>
      </c>
      <c r="R266">
        <v>3380</v>
      </c>
      <c r="S266">
        <v>4771.78756481239</v>
      </c>
      <c r="T266">
        <v>10140</v>
      </c>
      <c r="U266">
        <v>11929.468912030899</v>
      </c>
      <c r="V266" s="10">
        <f t="shared" si="11"/>
        <v>59648.963734366</v>
      </c>
    </row>
    <row r="267" spans="1:22" ht="16" x14ac:dyDescent="0.2">
      <c r="A267">
        <v>255</v>
      </c>
      <c r="B267" t="s">
        <v>101</v>
      </c>
      <c r="C267">
        <v>1</v>
      </c>
      <c r="D267" t="s">
        <v>102</v>
      </c>
      <c r="E267">
        <v>10</v>
      </c>
      <c r="F267">
        <v>15</v>
      </c>
      <c r="G267">
        <v>5</v>
      </c>
      <c r="H267">
        <v>338000</v>
      </c>
      <c r="I267">
        <v>27040</v>
      </c>
      <c r="J267">
        <v>5568.9637343662098</v>
      </c>
      <c r="K267">
        <v>27040</v>
      </c>
      <c r="L267">
        <v>397648.963734366</v>
      </c>
      <c r="M267">
        <v>563.33333333333303</v>
      </c>
      <c r="N267">
        <v>2534.99999999999</v>
      </c>
      <c r="O267">
        <v>300</v>
      </c>
      <c r="P267">
        <v>250</v>
      </c>
      <c r="Q267">
        <v>3648.3333333333298</v>
      </c>
      <c r="R267">
        <v>3380</v>
      </c>
      <c r="S267">
        <v>4771.78756481239</v>
      </c>
      <c r="T267">
        <v>10140</v>
      </c>
      <c r="U267">
        <v>11929.468912030899</v>
      </c>
      <c r="V267" s="10">
        <f t="shared" si="11"/>
        <v>59648.963734366</v>
      </c>
    </row>
    <row r="268" spans="1:22" ht="16" x14ac:dyDescent="0.2">
      <c r="A268">
        <v>256</v>
      </c>
      <c r="B268" t="s">
        <v>101</v>
      </c>
      <c r="C268">
        <v>1</v>
      </c>
      <c r="D268" t="s">
        <v>102</v>
      </c>
      <c r="E268">
        <v>10</v>
      </c>
      <c r="F268">
        <v>15</v>
      </c>
      <c r="G268">
        <v>5</v>
      </c>
      <c r="H268">
        <v>338000</v>
      </c>
      <c r="I268">
        <v>27040</v>
      </c>
      <c r="J268">
        <v>5568.9637343662098</v>
      </c>
      <c r="K268">
        <v>27040</v>
      </c>
      <c r="L268">
        <v>397648.963734366</v>
      </c>
      <c r="M268">
        <v>563.33333333333303</v>
      </c>
      <c r="N268">
        <v>2534.99999999999</v>
      </c>
      <c r="O268">
        <v>300</v>
      </c>
      <c r="P268">
        <v>250</v>
      </c>
      <c r="Q268">
        <v>3648.3333333333298</v>
      </c>
      <c r="R268">
        <v>3380</v>
      </c>
      <c r="S268">
        <v>4771.78756481239</v>
      </c>
      <c r="T268">
        <v>10140</v>
      </c>
      <c r="U268">
        <v>11929.468912030899</v>
      </c>
      <c r="V268" s="10">
        <f t="shared" si="11"/>
        <v>59648.963734366</v>
      </c>
    </row>
    <row r="269" spans="1:22" ht="16" x14ac:dyDescent="0.2">
      <c r="A269">
        <v>257</v>
      </c>
      <c r="B269" t="s">
        <v>101</v>
      </c>
      <c r="C269">
        <v>1</v>
      </c>
      <c r="D269" t="s">
        <v>102</v>
      </c>
      <c r="E269">
        <v>10</v>
      </c>
      <c r="F269">
        <v>15</v>
      </c>
      <c r="G269">
        <v>5</v>
      </c>
      <c r="H269">
        <v>338000</v>
      </c>
      <c r="I269">
        <v>27040</v>
      </c>
      <c r="J269">
        <v>5568.9637343662098</v>
      </c>
      <c r="K269">
        <v>27040</v>
      </c>
      <c r="L269">
        <v>397648.963734366</v>
      </c>
      <c r="M269">
        <v>563.33333333333303</v>
      </c>
      <c r="N269">
        <v>2534.99999999999</v>
      </c>
      <c r="O269">
        <v>300</v>
      </c>
      <c r="P269">
        <v>250</v>
      </c>
      <c r="Q269">
        <v>3648.3333333333298</v>
      </c>
      <c r="R269">
        <v>3380</v>
      </c>
      <c r="S269">
        <v>4771.78756481239</v>
      </c>
      <c r="T269">
        <v>10140</v>
      </c>
      <c r="U269">
        <v>11929.468912030899</v>
      </c>
      <c r="V269" s="10">
        <f t="shared" si="11"/>
        <v>59648.963734366</v>
      </c>
    </row>
    <row r="270" spans="1:22" ht="16" x14ac:dyDescent="0.2">
      <c r="A270">
        <v>260</v>
      </c>
      <c r="B270" t="s">
        <v>101</v>
      </c>
      <c r="C270">
        <v>1</v>
      </c>
      <c r="D270" t="s">
        <v>103</v>
      </c>
      <c r="E270">
        <v>10</v>
      </c>
      <c r="F270">
        <v>15</v>
      </c>
      <c r="G270">
        <v>5</v>
      </c>
      <c r="H270">
        <v>443000</v>
      </c>
      <c r="I270">
        <v>26580</v>
      </c>
      <c r="J270">
        <v>8199.7467798370599</v>
      </c>
      <c r="K270">
        <v>26580</v>
      </c>
      <c r="L270">
        <v>504359.74677983701</v>
      </c>
      <c r="M270">
        <v>738.33333333333303</v>
      </c>
      <c r="N270">
        <v>3322.49999999999</v>
      </c>
      <c r="O270">
        <v>300</v>
      </c>
      <c r="P270">
        <v>250</v>
      </c>
      <c r="Q270">
        <v>4610.8333333333303</v>
      </c>
      <c r="R270">
        <v>4430</v>
      </c>
      <c r="S270">
        <v>6052.3169613580403</v>
      </c>
      <c r="T270">
        <v>13290</v>
      </c>
      <c r="U270">
        <v>15130.7924033951</v>
      </c>
      <c r="V270" s="10">
        <f t="shared" si="11"/>
        <v>61359.746779837005</v>
      </c>
    </row>
    <row r="271" spans="1:22" ht="16" x14ac:dyDescent="0.2">
      <c r="A271">
        <v>261</v>
      </c>
      <c r="B271" t="s">
        <v>101</v>
      </c>
      <c r="C271">
        <v>1</v>
      </c>
      <c r="D271" t="s">
        <v>103</v>
      </c>
      <c r="E271">
        <v>10</v>
      </c>
      <c r="F271">
        <v>15</v>
      </c>
      <c r="G271">
        <v>5</v>
      </c>
      <c r="H271">
        <v>443000</v>
      </c>
      <c r="I271">
        <v>26580</v>
      </c>
      <c r="J271">
        <v>8199.7467798370599</v>
      </c>
      <c r="K271">
        <v>26580</v>
      </c>
      <c r="L271">
        <v>504359.74677983701</v>
      </c>
      <c r="M271">
        <v>738.33333333333303</v>
      </c>
      <c r="N271">
        <v>3322.49999999999</v>
      </c>
      <c r="O271">
        <v>300</v>
      </c>
      <c r="P271">
        <v>250</v>
      </c>
      <c r="Q271">
        <v>4610.8333333333303</v>
      </c>
      <c r="R271">
        <v>4430</v>
      </c>
      <c r="S271">
        <v>6052.3169613580403</v>
      </c>
      <c r="T271">
        <v>13290</v>
      </c>
      <c r="U271">
        <v>15130.7924033951</v>
      </c>
      <c r="V271" s="10">
        <f t="shared" si="11"/>
        <v>61359.746779837005</v>
      </c>
    </row>
    <row r="272" spans="1:22" ht="16" x14ac:dyDescent="0.2">
      <c r="A272">
        <v>265</v>
      </c>
      <c r="B272" t="s">
        <v>101</v>
      </c>
      <c r="C272">
        <v>1</v>
      </c>
      <c r="D272" t="s">
        <v>103</v>
      </c>
      <c r="E272">
        <v>10</v>
      </c>
      <c r="F272">
        <v>15</v>
      </c>
      <c r="G272">
        <v>5</v>
      </c>
      <c r="H272">
        <v>443000</v>
      </c>
      <c r="I272">
        <v>26580</v>
      </c>
      <c r="J272">
        <v>8199.7467798370599</v>
      </c>
      <c r="K272">
        <v>26580</v>
      </c>
      <c r="L272">
        <v>504359.74677983701</v>
      </c>
      <c r="M272">
        <v>738.33333333333303</v>
      </c>
      <c r="N272">
        <v>3322.49999999999</v>
      </c>
      <c r="O272">
        <v>300</v>
      </c>
      <c r="P272">
        <v>250</v>
      </c>
      <c r="Q272">
        <v>4610.8333333333303</v>
      </c>
      <c r="R272">
        <v>4430</v>
      </c>
      <c r="S272">
        <v>6052.3169613580403</v>
      </c>
      <c r="T272">
        <v>13290</v>
      </c>
      <c r="U272">
        <v>15130.7924033951</v>
      </c>
      <c r="V272" s="10">
        <f t="shared" si="11"/>
        <v>61359.746779837005</v>
      </c>
    </row>
    <row r="273" spans="1:22" ht="16" x14ac:dyDescent="0.2">
      <c r="A273">
        <v>266</v>
      </c>
      <c r="B273" t="s">
        <v>101</v>
      </c>
      <c r="C273">
        <v>1</v>
      </c>
      <c r="D273" t="s">
        <v>103</v>
      </c>
      <c r="E273">
        <v>10</v>
      </c>
      <c r="F273">
        <v>15</v>
      </c>
      <c r="G273">
        <v>5</v>
      </c>
      <c r="H273">
        <v>443000</v>
      </c>
      <c r="I273">
        <v>26580</v>
      </c>
      <c r="J273">
        <v>8199.7467798370599</v>
      </c>
      <c r="K273">
        <v>26580</v>
      </c>
      <c r="L273">
        <v>504359.74677983701</v>
      </c>
      <c r="M273">
        <v>738.33333333333303</v>
      </c>
      <c r="N273">
        <v>3322.49999999999</v>
      </c>
      <c r="O273">
        <v>300</v>
      </c>
      <c r="P273">
        <v>250</v>
      </c>
      <c r="Q273">
        <v>4610.8333333333303</v>
      </c>
      <c r="R273">
        <v>4430</v>
      </c>
      <c r="S273">
        <v>6052.3169613580403</v>
      </c>
      <c r="T273">
        <v>13290</v>
      </c>
      <c r="U273">
        <v>15130.7924033951</v>
      </c>
      <c r="V273" s="10">
        <f t="shared" si="11"/>
        <v>61359.746779837005</v>
      </c>
    </row>
    <row r="274" spans="1:22" ht="16" x14ac:dyDescent="0.2">
      <c r="A274">
        <v>267</v>
      </c>
      <c r="B274" t="s">
        <v>101</v>
      </c>
      <c r="C274">
        <v>1</v>
      </c>
      <c r="D274" t="s">
        <v>103</v>
      </c>
      <c r="E274">
        <v>10</v>
      </c>
      <c r="F274">
        <v>15</v>
      </c>
      <c r="G274">
        <v>5</v>
      </c>
      <c r="H274">
        <v>443000</v>
      </c>
      <c r="I274">
        <v>26580</v>
      </c>
      <c r="J274">
        <v>8199.7467798370599</v>
      </c>
      <c r="K274">
        <v>26580</v>
      </c>
      <c r="L274">
        <v>504359.74677983701</v>
      </c>
      <c r="M274">
        <v>738.33333333333303</v>
      </c>
      <c r="N274">
        <v>3322.49999999999</v>
      </c>
      <c r="O274">
        <v>300</v>
      </c>
      <c r="P274">
        <v>250</v>
      </c>
      <c r="Q274">
        <v>4610.8333333333303</v>
      </c>
      <c r="R274">
        <v>4430</v>
      </c>
      <c r="S274">
        <v>6052.3169613580403</v>
      </c>
      <c r="T274">
        <v>13290</v>
      </c>
      <c r="U274">
        <v>15130.7924033951</v>
      </c>
      <c r="V274" s="10">
        <f t="shared" si="11"/>
        <v>61359.746779837005</v>
      </c>
    </row>
    <row r="275" spans="1:22" ht="16" x14ac:dyDescent="0.2">
      <c r="A275">
        <v>268</v>
      </c>
      <c r="B275" t="s">
        <v>101</v>
      </c>
      <c r="C275">
        <v>1</v>
      </c>
      <c r="D275" t="s">
        <v>103</v>
      </c>
      <c r="E275">
        <v>10</v>
      </c>
      <c r="F275">
        <v>15</v>
      </c>
      <c r="G275">
        <v>5</v>
      </c>
      <c r="H275">
        <v>443000</v>
      </c>
      <c r="I275">
        <v>26580</v>
      </c>
      <c r="J275">
        <v>8199.7467798370599</v>
      </c>
      <c r="K275">
        <v>26580</v>
      </c>
      <c r="L275">
        <v>504359.74677983701</v>
      </c>
      <c r="M275">
        <v>738.33333333333303</v>
      </c>
      <c r="N275">
        <v>3322.49999999999</v>
      </c>
      <c r="O275">
        <v>300</v>
      </c>
      <c r="P275">
        <v>250</v>
      </c>
      <c r="Q275">
        <v>4610.8333333333303</v>
      </c>
      <c r="R275">
        <v>4430</v>
      </c>
      <c r="S275">
        <v>6052.3169613580403</v>
      </c>
      <c r="T275">
        <v>13290</v>
      </c>
      <c r="U275">
        <v>15130.7924033951</v>
      </c>
      <c r="V275" s="10">
        <f t="shared" si="11"/>
        <v>61359.746779837005</v>
      </c>
    </row>
    <row r="276" spans="1:22" ht="16" x14ac:dyDescent="0.2">
      <c r="A276">
        <v>269</v>
      </c>
      <c r="B276" t="s">
        <v>101</v>
      </c>
      <c r="C276">
        <v>1</v>
      </c>
      <c r="D276" t="s">
        <v>103</v>
      </c>
      <c r="E276">
        <v>10</v>
      </c>
      <c r="F276">
        <v>15</v>
      </c>
      <c r="G276">
        <v>5</v>
      </c>
      <c r="H276">
        <v>443000</v>
      </c>
      <c r="I276">
        <v>26580</v>
      </c>
      <c r="J276">
        <v>8199.7467798370599</v>
      </c>
      <c r="K276">
        <v>26580</v>
      </c>
      <c r="L276">
        <v>504359.74677983701</v>
      </c>
      <c r="M276">
        <v>738.33333333333303</v>
      </c>
      <c r="N276">
        <v>3322.49999999999</v>
      </c>
      <c r="O276">
        <v>300</v>
      </c>
      <c r="P276">
        <v>250</v>
      </c>
      <c r="Q276">
        <v>4610.8333333333303</v>
      </c>
      <c r="R276">
        <v>4430</v>
      </c>
      <c r="S276">
        <v>6052.3169613580403</v>
      </c>
      <c r="T276">
        <v>13290</v>
      </c>
      <c r="U276">
        <v>15130.7924033951</v>
      </c>
      <c r="V276" s="10">
        <f t="shared" si="11"/>
        <v>61359.746779837005</v>
      </c>
    </row>
    <row r="277" spans="1:22" ht="16" x14ac:dyDescent="0.2">
      <c r="A277">
        <v>271</v>
      </c>
      <c r="B277" t="s">
        <v>101</v>
      </c>
      <c r="C277">
        <v>1</v>
      </c>
      <c r="D277" t="s">
        <v>103</v>
      </c>
      <c r="E277">
        <v>10</v>
      </c>
      <c r="F277">
        <v>15</v>
      </c>
      <c r="G277">
        <v>5</v>
      </c>
      <c r="H277">
        <v>443000</v>
      </c>
      <c r="I277">
        <v>26580</v>
      </c>
      <c r="J277">
        <v>8199.7467798370599</v>
      </c>
      <c r="K277">
        <v>26580</v>
      </c>
      <c r="L277">
        <v>504359.74677983701</v>
      </c>
      <c r="M277">
        <v>738.33333333333303</v>
      </c>
      <c r="N277">
        <v>3322.49999999999</v>
      </c>
      <c r="O277">
        <v>300</v>
      </c>
      <c r="P277">
        <v>250</v>
      </c>
      <c r="Q277">
        <v>4610.8333333333303</v>
      </c>
      <c r="R277">
        <v>4430</v>
      </c>
      <c r="S277">
        <v>6052.3169613580403</v>
      </c>
      <c r="T277">
        <v>13290</v>
      </c>
      <c r="U277">
        <v>15130.7924033951</v>
      </c>
      <c r="V277" s="10">
        <f t="shared" si="11"/>
        <v>61359.746779837005</v>
      </c>
    </row>
    <row r="278" spans="1:22" ht="16" x14ac:dyDescent="0.2">
      <c r="A278">
        <v>277</v>
      </c>
      <c r="B278" t="s">
        <v>101</v>
      </c>
      <c r="C278">
        <v>1</v>
      </c>
      <c r="D278" t="s">
        <v>102</v>
      </c>
      <c r="E278">
        <v>11</v>
      </c>
      <c r="F278">
        <v>15</v>
      </c>
      <c r="G278">
        <v>4</v>
      </c>
      <c r="H278">
        <v>338000</v>
      </c>
      <c r="I278">
        <v>27040</v>
      </c>
      <c r="J278">
        <v>4447.8784912198998</v>
      </c>
      <c r="K278">
        <v>27040</v>
      </c>
      <c r="L278">
        <v>396527.87849121902</v>
      </c>
      <c r="M278">
        <v>450.666666666666</v>
      </c>
      <c r="N278">
        <v>2027.99999999999</v>
      </c>
      <c r="O278">
        <v>240</v>
      </c>
      <c r="P278">
        <v>200</v>
      </c>
      <c r="Q278">
        <v>2918.6666666666601</v>
      </c>
      <c r="R278">
        <v>3380</v>
      </c>
      <c r="S278">
        <v>4758.3345418946301</v>
      </c>
      <c r="T278">
        <v>10140</v>
      </c>
      <c r="U278">
        <v>11895.836354736501</v>
      </c>
      <c r="V278" s="10">
        <f t="shared" si="11"/>
        <v>58527.878491219017</v>
      </c>
    </row>
    <row r="279" spans="1:22" ht="16" x14ac:dyDescent="0.2">
      <c r="A279">
        <v>278</v>
      </c>
      <c r="B279" t="s">
        <v>101</v>
      </c>
      <c r="C279">
        <v>1</v>
      </c>
      <c r="D279" t="s">
        <v>102</v>
      </c>
      <c r="E279">
        <v>11</v>
      </c>
      <c r="F279">
        <v>15</v>
      </c>
      <c r="G279">
        <v>4</v>
      </c>
      <c r="H279">
        <v>338000</v>
      </c>
      <c r="I279">
        <v>27040</v>
      </c>
      <c r="J279">
        <v>4447.8784912198998</v>
      </c>
      <c r="K279">
        <v>27040</v>
      </c>
      <c r="L279">
        <v>396527.87849121902</v>
      </c>
      <c r="M279">
        <v>450.666666666666</v>
      </c>
      <c r="N279">
        <v>2027.99999999999</v>
      </c>
      <c r="O279">
        <v>240</v>
      </c>
      <c r="P279">
        <v>200</v>
      </c>
      <c r="Q279">
        <v>2918.6666666666601</v>
      </c>
      <c r="R279">
        <v>3380</v>
      </c>
      <c r="S279">
        <v>4758.3345418946301</v>
      </c>
      <c r="T279">
        <v>10140</v>
      </c>
      <c r="U279">
        <v>11895.836354736501</v>
      </c>
      <c r="V279" s="10">
        <f t="shared" si="11"/>
        <v>58527.878491219017</v>
      </c>
    </row>
    <row r="280" spans="1:22" ht="16" x14ac:dyDescent="0.2">
      <c r="A280">
        <v>279</v>
      </c>
      <c r="B280" t="s">
        <v>101</v>
      </c>
      <c r="C280">
        <v>1</v>
      </c>
      <c r="D280" t="s">
        <v>102</v>
      </c>
      <c r="E280">
        <v>11</v>
      </c>
      <c r="F280">
        <v>15</v>
      </c>
      <c r="G280">
        <v>4</v>
      </c>
      <c r="H280">
        <v>338000</v>
      </c>
      <c r="I280">
        <v>27040</v>
      </c>
      <c r="J280">
        <v>4447.8784912198998</v>
      </c>
      <c r="K280">
        <v>27040</v>
      </c>
      <c r="L280">
        <v>396527.87849121902</v>
      </c>
      <c r="M280">
        <v>450.666666666666</v>
      </c>
      <c r="N280">
        <v>2027.99999999999</v>
      </c>
      <c r="O280">
        <v>240</v>
      </c>
      <c r="P280">
        <v>200</v>
      </c>
      <c r="Q280">
        <v>2918.6666666666601</v>
      </c>
      <c r="R280">
        <v>3380</v>
      </c>
      <c r="S280">
        <v>4758.3345418946301</v>
      </c>
      <c r="T280">
        <v>10140</v>
      </c>
      <c r="U280">
        <v>11895.836354736501</v>
      </c>
      <c r="V280" s="10">
        <f t="shared" si="11"/>
        <v>58527.878491219017</v>
      </c>
    </row>
    <row r="281" spans="1:22" ht="16" x14ac:dyDescent="0.2">
      <c r="A281">
        <v>280</v>
      </c>
      <c r="B281" t="s">
        <v>101</v>
      </c>
      <c r="C281">
        <v>1</v>
      </c>
      <c r="D281" t="s">
        <v>102</v>
      </c>
      <c r="E281">
        <v>11</v>
      </c>
      <c r="F281">
        <v>15</v>
      </c>
      <c r="G281">
        <v>4</v>
      </c>
      <c r="H281">
        <v>338000</v>
      </c>
      <c r="I281">
        <v>27040</v>
      </c>
      <c r="J281">
        <v>4447.8784912198998</v>
      </c>
      <c r="K281">
        <v>27040</v>
      </c>
      <c r="L281">
        <v>396527.87849121902</v>
      </c>
      <c r="M281">
        <v>450.666666666666</v>
      </c>
      <c r="N281">
        <v>2027.99999999999</v>
      </c>
      <c r="O281">
        <v>240</v>
      </c>
      <c r="P281">
        <v>200</v>
      </c>
      <c r="Q281">
        <v>2918.6666666666601</v>
      </c>
      <c r="R281">
        <v>3380</v>
      </c>
      <c r="S281">
        <v>4758.3345418946301</v>
      </c>
      <c r="T281">
        <v>10140</v>
      </c>
      <c r="U281">
        <v>11895.836354736501</v>
      </c>
      <c r="V281" s="10">
        <f t="shared" si="11"/>
        <v>58527.878491219017</v>
      </c>
    </row>
    <row r="282" spans="1:22" ht="16" x14ac:dyDescent="0.2">
      <c r="V282" s="11">
        <f>SUM(V252:V281)</f>
        <v>1957859.3218479846</v>
      </c>
    </row>
    <row r="283" spans="1:22" ht="16" x14ac:dyDescent="0.2">
      <c r="A283">
        <v>248</v>
      </c>
      <c r="B283" t="s">
        <v>101</v>
      </c>
      <c r="C283">
        <v>1</v>
      </c>
      <c r="D283" t="s">
        <v>104</v>
      </c>
      <c r="E283">
        <v>9</v>
      </c>
      <c r="F283">
        <v>16</v>
      </c>
      <c r="G283">
        <v>7</v>
      </c>
      <c r="H283">
        <v>676000</v>
      </c>
      <c r="I283">
        <v>33800</v>
      </c>
      <c r="J283">
        <v>19515.992356670598</v>
      </c>
      <c r="K283">
        <v>33800</v>
      </c>
      <c r="L283">
        <v>763115.99235666997</v>
      </c>
      <c r="M283">
        <v>1577.3333333333301</v>
      </c>
      <c r="N283">
        <v>7097.99999999999</v>
      </c>
      <c r="O283">
        <v>420</v>
      </c>
      <c r="P283">
        <v>350</v>
      </c>
      <c r="Q283">
        <v>9445.3333333333303</v>
      </c>
      <c r="R283">
        <v>6760</v>
      </c>
      <c r="S283">
        <v>9157.3919082800403</v>
      </c>
      <c r="T283">
        <v>20280</v>
      </c>
      <c r="U283">
        <v>22893.479770700102</v>
      </c>
      <c r="V283" s="10">
        <f t="shared" ref="V283:V296" si="12">L283-H283</f>
        <v>87115.992356669973</v>
      </c>
    </row>
    <row r="284" spans="1:22" ht="16" x14ac:dyDescent="0.2">
      <c r="A284">
        <v>262</v>
      </c>
      <c r="B284" t="s">
        <v>101</v>
      </c>
      <c r="C284">
        <v>1</v>
      </c>
      <c r="D284" t="s">
        <v>103</v>
      </c>
      <c r="E284">
        <v>10</v>
      </c>
      <c r="F284">
        <v>16</v>
      </c>
      <c r="G284">
        <v>6</v>
      </c>
      <c r="H284">
        <v>443000</v>
      </c>
      <c r="I284">
        <v>26580</v>
      </c>
      <c r="J284">
        <v>9857.8198507783309</v>
      </c>
      <c r="K284">
        <v>26580</v>
      </c>
      <c r="L284">
        <v>506017.81985077797</v>
      </c>
      <c r="M284">
        <v>886</v>
      </c>
      <c r="N284">
        <v>3986.99999999999</v>
      </c>
      <c r="O284">
        <v>360</v>
      </c>
      <c r="P284">
        <v>300</v>
      </c>
      <c r="Q284">
        <v>5533</v>
      </c>
      <c r="R284">
        <v>4430</v>
      </c>
      <c r="S284">
        <v>6072.2138382093399</v>
      </c>
      <c r="T284">
        <v>13290</v>
      </c>
      <c r="U284">
        <v>15180.534595523301</v>
      </c>
      <c r="V284" s="10">
        <f t="shared" si="12"/>
        <v>63017.819850777974</v>
      </c>
    </row>
    <row r="285" spans="1:22" ht="16" x14ac:dyDescent="0.2">
      <c r="A285">
        <v>263</v>
      </c>
      <c r="B285" t="s">
        <v>101</v>
      </c>
      <c r="C285">
        <v>1</v>
      </c>
      <c r="D285" t="s">
        <v>103</v>
      </c>
      <c r="E285">
        <v>10</v>
      </c>
      <c r="F285">
        <v>16</v>
      </c>
      <c r="G285">
        <v>6</v>
      </c>
      <c r="H285">
        <v>443000</v>
      </c>
      <c r="I285">
        <v>26580</v>
      </c>
      <c r="J285">
        <v>9857.8198507783309</v>
      </c>
      <c r="K285">
        <v>26580</v>
      </c>
      <c r="L285">
        <v>506017.81985077797</v>
      </c>
      <c r="M285">
        <v>886</v>
      </c>
      <c r="N285">
        <v>3986.99999999999</v>
      </c>
      <c r="O285">
        <v>360</v>
      </c>
      <c r="P285">
        <v>300</v>
      </c>
      <c r="Q285">
        <v>5533</v>
      </c>
      <c r="R285">
        <v>4430</v>
      </c>
      <c r="S285">
        <v>6072.2138382093399</v>
      </c>
      <c r="T285">
        <v>13290</v>
      </c>
      <c r="U285">
        <v>15180.534595523301</v>
      </c>
      <c r="V285" s="10">
        <f t="shared" si="12"/>
        <v>63017.819850777974</v>
      </c>
    </row>
    <row r="286" spans="1:22" ht="16" x14ac:dyDescent="0.2">
      <c r="A286">
        <v>264</v>
      </c>
      <c r="B286" t="s">
        <v>101</v>
      </c>
      <c r="C286">
        <v>1</v>
      </c>
      <c r="D286" t="s">
        <v>103</v>
      </c>
      <c r="E286">
        <v>10</v>
      </c>
      <c r="F286">
        <v>16</v>
      </c>
      <c r="G286">
        <v>6</v>
      </c>
      <c r="H286">
        <v>443000</v>
      </c>
      <c r="I286">
        <v>26580</v>
      </c>
      <c r="J286">
        <v>9857.8198507783309</v>
      </c>
      <c r="K286">
        <v>26580</v>
      </c>
      <c r="L286">
        <v>506017.81985077797</v>
      </c>
      <c r="M286">
        <v>886</v>
      </c>
      <c r="N286">
        <v>3986.99999999999</v>
      </c>
      <c r="O286">
        <v>360</v>
      </c>
      <c r="P286">
        <v>300</v>
      </c>
      <c r="Q286">
        <v>5533</v>
      </c>
      <c r="R286">
        <v>4430</v>
      </c>
      <c r="S286">
        <v>6072.2138382093399</v>
      </c>
      <c r="T286">
        <v>13290</v>
      </c>
      <c r="U286">
        <v>15180.534595523301</v>
      </c>
      <c r="V286" s="10">
        <f t="shared" si="12"/>
        <v>63017.819850777974</v>
      </c>
    </row>
    <row r="287" spans="1:22" ht="16" x14ac:dyDescent="0.2">
      <c r="A287">
        <v>270</v>
      </c>
      <c r="B287" t="s">
        <v>101</v>
      </c>
      <c r="C287">
        <v>1</v>
      </c>
      <c r="D287" t="s">
        <v>103</v>
      </c>
      <c r="E287">
        <v>10</v>
      </c>
      <c r="F287">
        <v>16</v>
      </c>
      <c r="G287">
        <v>6</v>
      </c>
      <c r="H287">
        <v>443000</v>
      </c>
      <c r="I287">
        <v>26580</v>
      </c>
      <c r="J287">
        <v>9857.8198507783309</v>
      </c>
      <c r="K287">
        <v>26580</v>
      </c>
      <c r="L287">
        <v>506017.81985077797</v>
      </c>
      <c r="M287">
        <v>886</v>
      </c>
      <c r="N287">
        <v>3986.99999999999</v>
      </c>
      <c r="O287">
        <v>360</v>
      </c>
      <c r="P287">
        <v>300</v>
      </c>
      <c r="Q287">
        <v>5533</v>
      </c>
      <c r="R287">
        <v>4430</v>
      </c>
      <c r="S287">
        <v>6072.2138382093399</v>
      </c>
      <c r="T287">
        <v>13290</v>
      </c>
      <c r="U287">
        <v>15180.534595523301</v>
      </c>
      <c r="V287" s="10">
        <f t="shared" si="12"/>
        <v>63017.819850777974</v>
      </c>
    </row>
    <row r="288" spans="1:22" ht="16" x14ac:dyDescent="0.2">
      <c r="A288">
        <v>273</v>
      </c>
      <c r="B288" t="s">
        <v>101</v>
      </c>
      <c r="C288">
        <v>1</v>
      </c>
      <c r="D288" t="s">
        <v>104</v>
      </c>
      <c r="E288">
        <v>10</v>
      </c>
      <c r="F288">
        <v>16</v>
      </c>
      <c r="G288">
        <v>6</v>
      </c>
      <c r="H288">
        <v>676000</v>
      </c>
      <c r="I288">
        <v>33800</v>
      </c>
      <c r="J288">
        <v>16693.871778868899</v>
      </c>
      <c r="K288">
        <v>33800</v>
      </c>
      <c r="L288">
        <v>760293.87177886895</v>
      </c>
      <c r="M288">
        <v>1352</v>
      </c>
      <c r="N288">
        <v>6083.99999999999</v>
      </c>
      <c r="O288">
        <v>360</v>
      </c>
      <c r="P288">
        <v>300</v>
      </c>
      <c r="Q288">
        <v>8095.99999999999</v>
      </c>
      <c r="R288">
        <v>6760</v>
      </c>
      <c r="S288">
        <v>9123.5264613464205</v>
      </c>
      <c r="T288">
        <v>20280</v>
      </c>
      <c r="U288">
        <v>22808.816153365999</v>
      </c>
      <c r="V288" s="10">
        <f t="shared" si="12"/>
        <v>84293.871778868954</v>
      </c>
    </row>
    <row r="289" spans="1:22" ht="16" x14ac:dyDescent="0.2">
      <c r="A289">
        <v>274</v>
      </c>
      <c r="B289" t="s">
        <v>101</v>
      </c>
      <c r="C289">
        <v>1</v>
      </c>
      <c r="D289" t="s">
        <v>104</v>
      </c>
      <c r="E289">
        <v>10</v>
      </c>
      <c r="F289">
        <v>16</v>
      </c>
      <c r="G289">
        <v>6</v>
      </c>
      <c r="H289">
        <v>676000</v>
      </c>
      <c r="I289">
        <v>33800</v>
      </c>
      <c r="J289">
        <v>16693.871778868899</v>
      </c>
      <c r="K289">
        <v>33800</v>
      </c>
      <c r="L289">
        <v>760293.87177886895</v>
      </c>
      <c r="M289">
        <v>1352</v>
      </c>
      <c r="N289">
        <v>6083.99999999999</v>
      </c>
      <c r="O289">
        <v>360</v>
      </c>
      <c r="P289">
        <v>300</v>
      </c>
      <c r="Q289">
        <v>8095.99999999999</v>
      </c>
      <c r="R289">
        <v>6760</v>
      </c>
      <c r="S289">
        <v>9123.5264613464205</v>
      </c>
      <c r="T289">
        <v>20280</v>
      </c>
      <c r="U289">
        <v>22808.816153365999</v>
      </c>
      <c r="V289" s="10">
        <f t="shared" si="12"/>
        <v>84293.871778868954</v>
      </c>
    </row>
    <row r="290" spans="1:22" ht="16" x14ac:dyDescent="0.2">
      <c r="A290">
        <v>275</v>
      </c>
      <c r="B290" t="s">
        <v>101</v>
      </c>
      <c r="C290">
        <v>1</v>
      </c>
      <c r="D290" t="s">
        <v>104</v>
      </c>
      <c r="E290">
        <v>10</v>
      </c>
      <c r="F290">
        <v>16</v>
      </c>
      <c r="G290">
        <v>6</v>
      </c>
      <c r="H290">
        <v>676000</v>
      </c>
      <c r="I290">
        <v>33800</v>
      </c>
      <c r="J290">
        <v>16693.871778868899</v>
      </c>
      <c r="K290">
        <v>33800</v>
      </c>
      <c r="L290">
        <v>760293.87177886895</v>
      </c>
      <c r="M290">
        <v>1352</v>
      </c>
      <c r="N290">
        <v>6083.99999999999</v>
      </c>
      <c r="O290">
        <v>360</v>
      </c>
      <c r="P290">
        <v>300</v>
      </c>
      <c r="Q290">
        <v>8095.99999999999</v>
      </c>
      <c r="R290">
        <v>6760</v>
      </c>
      <c r="S290">
        <v>9123.5264613464205</v>
      </c>
      <c r="T290">
        <v>20280</v>
      </c>
      <c r="U290">
        <v>22808.816153365999</v>
      </c>
      <c r="V290" s="10">
        <f t="shared" si="12"/>
        <v>84293.871778868954</v>
      </c>
    </row>
    <row r="291" spans="1:22" ht="16" x14ac:dyDescent="0.2">
      <c r="A291">
        <v>276</v>
      </c>
      <c r="B291" t="s">
        <v>101</v>
      </c>
      <c r="C291">
        <v>1</v>
      </c>
      <c r="D291" t="s">
        <v>102</v>
      </c>
      <c r="E291">
        <v>11</v>
      </c>
      <c r="F291">
        <v>16</v>
      </c>
      <c r="G291">
        <v>5</v>
      </c>
      <c r="H291">
        <v>338000</v>
      </c>
      <c r="I291">
        <v>27040</v>
      </c>
      <c r="J291">
        <v>5568.9637343662098</v>
      </c>
      <c r="K291">
        <v>27040</v>
      </c>
      <c r="L291">
        <v>397648.963734366</v>
      </c>
      <c r="M291">
        <v>563.33333333333303</v>
      </c>
      <c r="N291">
        <v>2534.99999999999</v>
      </c>
      <c r="O291">
        <v>300</v>
      </c>
      <c r="P291">
        <v>250</v>
      </c>
      <c r="Q291">
        <v>3648.3333333333298</v>
      </c>
      <c r="R291">
        <v>3380</v>
      </c>
      <c r="S291">
        <v>4771.78756481239</v>
      </c>
      <c r="T291">
        <v>10140</v>
      </c>
      <c r="U291">
        <v>11929.468912030899</v>
      </c>
      <c r="V291" s="10">
        <f t="shared" si="12"/>
        <v>59648.963734366</v>
      </c>
    </row>
    <row r="292" spans="1:22" ht="16" x14ac:dyDescent="0.2">
      <c r="A292">
        <v>284</v>
      </c>
      <c r="B292" t="s">
        <v>101</v>
      </c>
      <c r="C292">
        <v>1</v>
      </c>
      <c r="D292" t="s">
        <v>103</v>
      </c>
      <c r="E292">
        <v>11</v>
      </c>
      <c r="F292">
        <v>16</v>
      </c>
      <c r="G292">
        <v>5</v>
      </c>
      <c r="H292">
        <v>443000</v>
      </c>
      <c r="I292">
        <v>26580</v>
      </c>
      <c r="J292">
        <v>8199.7467798370599</v>
      </c>
      <c r="K292">
        <v>26580</v>
      </c>
      <c r="L292">
        <v>504359.74677983701</v>
      </c>
      <c r="M292">
        <v>738.33333333333303</v>
      </c>
      <c r="N292">
        <v>3322.49999999999</v>
      </c>
      <c r="O292">
        <v>300</v>
      </c>
      <c r="P292">
        <v>250</v>
      </c>
      <c r="Q292">
        <v>4610.8333333333303</v>
      </c>
      <c r="R292">
        <v>4430</v>
      </c>
      <c r="S292">
        <v>6052.3169613580403</v>
      </c>
      <c r="T292">
        <v>13290</v>
      </c>
      <c r="U292">
        <v>15130.7924033951</v>
      </c>
      <c r="V292" s="10">
        <f t="shared" si="12"/>
        <v>61359.746779837005</v>
      </c>
    </row>
    <row r="293" spans="1:22" ht="16" x14ac:dyDescent="0.2">
      <c r="A293">
        <v>285</v>
      </c>
      <c r="B293" t="s">
        <v>101</v>
      </c>
      <c r="C293">
        <v>1</v>
      </c>
      <c r="D293" t="s">
        <v>103</v>
      </c>
      <c r="E293">
        <v>11</v>
      </c>
      <c r="F293">
        <v>16</v>
      </c>
      <c r="G293">
        <v>5</v>
      </c>
      <c r="H293">
        <v>443000</v>
      </c>
      <c r="I293">
        <v>26580</v>
      </c>
      <c r="J293">
        <v>8199.7467798370599</v>
      </c>
      <c r="K293">
        <v>26580</v>
      </c>
      <c r="L293">
        <v>504359.74677983701</v>
      </c>
      <c r="M293">
        <v>738.33333333333303</v>
      </c>
      <c r="N293">
        <v>3322.49999999999</v>
      </c>
      <c r="O293">
        <v>300</v>
      </c>
      <c r="P293">
        <v>250</v>
      </c>
      <c r="Q293">
        <v>4610.8333333333303</v>
      </c>
      <c r="R293">
        <v>4430</v>
      </c>
      <c r="S293">
        <v>6052.3169613580403</v>
      </c>
      <c r="T293">
        <v>13290</v>
      </c>
      <c r="U293">
        <v>15130.7924033951</v>
      </c>
      <c r="V293" s="10">
        <f t="shared" si="12"/>
        <v>61359.746779837005</v>
      </c>
    </row>
    <row r="294" spans="1:22" ht="16" x14ac:dyDescent="0.2">
      <c r="A294">
        <v>287</v>
      </c>
      <c r="B294" t="s">
        <v>101</v>
      </c>
      <c r="C294">
        <v>1</v>
      </c>
      <c r="D294" t="s">
        <v>103</v>
      </c>
      <c r="E294">
        <v>11</v>
      </c>
      <c r="F294">
        <v>16</v>
      </c>
      <c r="G294">
        <v>5</v>
      </c>
      <c r="H294">
        <v>443000</v>
      </c>
      <c r="I294">
        <v>26580</v>
      </c>
      <c r="J294">
        <v>8199.7467798370599</v>
      </c>
      <c r="K294">
        <v>26580</v>
      </c>
      <c r="L294">
        <v>504359.74677983701</v>
      </c>
      <c r="M294">
        <v>738.33333333333303</v>
      </c>
      <c r="N294">
        <v>3322.49999999999</v>
      </c>
      <c r="O294">
        <v>300</v>
      </c>
      <c r="P294">
        <v>250</v>
      </c>
      <c r="Q294">
        <v>4610.8333333333303</v>
      </c>
      <c r="R294">
        <v>4430</v>
      </c>
      <c r="S294">
        <v>6052.3169613580403</v>
      </c>
      <c r="T294">
        <v>13290</v>
      </c>
      <c r="U294">
        <v>15130.7924033951</v>
      </c>
      <c r="V294" s="10">
        <f t="shared" si="12"/>
        <v>61359.746779837005</v>
      </c>
    </row>
    <row r="295" spans="1:22" ht="16" x14ac:dyDescent="0.2">
      <c r="A295">
        <v>288</v>
      </c>
      <c r="B295" t="s">
        <v>101</v>
      </c>
      <c r="C295">
        <v>1</v>
      </c>
      <c r="D295" t="s">
        <v>103</v>
      </c>
      <c r="E295">
        <v>11</v>
      </c>
      <c r="F295">
        <v>16</v>
      </c>
      <c r="G295">
        <v>5</v>
      </c>
      <c r="H295">
        <v>443000</v>
      </c>
      <c r="I295">
        <v>26580</v>
      </c>
      <c r="J295">
        <v>8199.7467798370599</v>
      </c>
      <c r="K295">
        <v>26580</v>
      </c>
      <c r="L295">
        <v>504359.74677983701</v>
      </c>
      <c r="M295">
        <v>738.33333333333303</v>
      </c>
      <c r="N295">
        <v>3322.49999999999</v>
      </c>
      <c r="O295">
        <v>300</v>
      </c>
      <c r="P295">
        <v>250</v>
      </c>
      <c r="Q295">
        <v>4610.8333333333303</v>
      </c>
      <c r="R295">
        <v>4430</v>
      </c>
      <c r="S295">
        <v>6052.3169613580403</v>
      </c>
      <c r="T295">
        <v>13290</v>
      </c>
      <c r="U295">
        <v>15130.7924033951</v>
      </c>
      <c r="V295" s="10">
        <f t="shared" si="12"/>
        <v>61359.746779837005</v>
      </c>
    </row>
    <row r="296" spans="1:22" ht="16" x14ac:dyDescent="0.2">
      <c r="A296">
        <v>293</v>
      </c>
      <c r="B296" t="s">
        <v>101</v>
      </c>
      <c r="C296">
        <v>1</v>
      </c>
      <c r="D296" t="s">
        <v>102</v>
      </c>
      <c r="E296">
        <v>12</v>
      </c>
      <c r="F296">
        <v>16</v>
      </c>
      <c r="G296">
        <v>4</v>
      </c>
      <c r="H296">
        <v>338000</v>
      </c>
      <c r="I296">
        <v>27040</v>
      </c>
      <c r="J296">
        <v>4447.8784912198998</v>
      </c>
      <c r="K296">
        <v>27040</v>
      </c>
      <c r="L296">
        <v>396527.87849121902</v>
      </c>
      <c r="M296">
        <v>450.666666666666</v>
      </c>
      <c r="N296">
        <v>2027.99999999999</v>
      </c>
      <c r="O296">
        <v>240</v>
      </c>
      <c r="P296">
        <v>200</v>
      </c>
      <c r="Q296">
        <v>2918.6666666666601</v>
      </c>
      <c r="R296">
        <v>3380</v>
      </c>
      <c r="S296">
        <v>4758.3345418946301</v>
      </c>
      <c r="T296">
        <v>10140</v>
      </c>
      <c r="U296">
        <v>11895.836354736501</v>
      </c>
      <c r="V296" s="10">
        <f t="shared" si="12"/>
        <v>58527.878491219017</v>
      </c>
    </row>
    <row r="297" spans="1:22" ht="16" x14ac:dyDescent="0.2">
      <c r="V297" s="11">
        <f>SUM(V283:V296)</f>
        <v>955684.71644132154</v>
      </c>
    </row>
    <row r="298" spans="1:22" ht="16" x14ac:dyDescent="0.2">
      <c r="A298">
        <v>272</v>
      </c>
      <c r="B298" t="s">
        <v>101</v>
      </c>
      <c r="C298">
        <v>1</v>
      </c>
      <c r="D298" t="s">
        <v>104</v>
      </c>
      <c r="E298">
        <v>10</v>
      </c>
      <c r="F298">
        <v>17</v>
      </c>
      <c r="G298">
        <v>7</v>
      </c>
      <c r="H298">
        <v>676000</v>
      </c>
      <c r="I298">
        <v>33800</v>
      </c>
      <c r="J298">
        <v>19515.992356670598</v>
      </c>
      <c r="K298">
        <v>33800</v>
      </c>
      <c r="L298">
        <v>763115.99235666997</v>
      </c>
      <c r="M298">
        <v>1577.3333333333301</v>
      </c>
      <c r="N298">
        <v>7097.99999999999</v>
      </c>
      <c r="O298">
        <v>420</v>
      </c>
      <c r="P298">
        <v>350</v>
      </c>
      <c r="Q298">
        <v>9445.3333333333303</v>
      </c>
      <c r="R298">
        <v>6760</v>
      </c>
      <c r="S298">
        <v>9157.3919082800403</v>
      </c>
      <c r="T298">
        <v>20280</v>
      </c>
      <c r="U298">
        <v>22893.479770700102</v>
      </c>
      <c r="V298" s="10">
        <f t="shared" ref="V298:V309" si="13">L298-H298</f>
        <v>87115.992356669973</v>
      </c>
    </row>
    <row r="299" spans="1:22" ht="16" x14ac:dyDescent="0.2">
      <c r="A299">
        <v>281</v>
      </c>
      <c r="B299" t="s">
        <v>101</v>
      </c>
      <c r="C299">
        <v>1</v>
      </c>
      <c r="D299" t="s">
        <v>103</v>
      </c>
      <c r="E299">
        <v>11</v>
      </c>
      <c r="F299">
        <v>17</v>
      </c>
      <c r="G299">
        <v>6</v>
      </c>
      <c r="H299">
        <v>443000</v>
      </c>
      <c r="I299">
        <v>26580</v>
      </c>
      <c r="J299">
        <v>9857.8198507783309</v>
      </c>
      <c r="K299">
        <v>26580</v>
      </c>
      <c r="L299">
        <v>506017.81985077797</v>
      </c>
      <c r="M299">
        <v>886</v>
      </c>
      <c r="N299">
        <v>3986.99999999999</v>
      </c>
      <c r="O299">
        <v>360</v>
      </c>
      <c r="P299">
        <v>300</v>
      </c>
      <c r="Q299">
        <v>5533</v>
      </c>
      <c r="R299">
        <v>4430</v>
      </c>
      <c r="S299">
        <v>6072.2138382093399</v>
      </c>
      <c r="T299">
        <v>13290</v>
      </c>
      <c r="U299">
        <v>15180.534595523301</v>
      </c>
      <c r="V299" s="10">
        <f t="shared" si="13"/>
        <v>63017.819850777974</v>
      </c>
    </row>
    <row r="300" spans="1:22" ht="16" x14ac:dyDescent="0.2">
      <c r="A300">
        <v>282</v>
      </c>
      <c r="B300" t="s">
        <v>101</v>
      </c>
      <c r="C300">
        <v>1</v>
      </c>
      <c r="D300" t="s">
        <v>103</v>
      </c>
      <c r="E300">
        <v>11</v>
      </c>
      <c r="F300">
        <v>17</v>
      </c>
      <c r="G300">
        <v>6</v>
      </c>
      <c r="H300">
        <v>443000</v>
      </c>
      <c r="I300">
        <v>26580</v>
      </c>
      <c r="J300">
        <v>9857.8198507783309</v>
      </c>
      <c r="K300">
        <v>26580</v>
      </c>
      <c r="L300">
        <v>506017.81985077797</v>
      </c>
      <c r="M300">
        <v>886</v>
      </c>
      <c r="N300">
        <v>3986.99999999999</v>
      </c>
      <c r="O300">
        <v>360</v>
      </c>
      <c r="P300">
        <v>300</v>
      </c>
      <c r="Q300">
        <v>5533</v>
      </c>
      <c r="R300">
        <v>4430</v>
      </c>
      <c r="S300">
        <v>6072.2138382093399</v>
      </c>
      <c r="T300">
        <v>13290</v>
      </c>
      <c r="U300">
        <v>15180.534595523301</v>
      </c>
      <c r="V300" s="10">
        <f t="shared" si="13"/>
        <v>63017.819850777974</v>
      </c>
    </row>
    <row r="301" spans="1:22" ht="16" x14ac:dyDescent="0.2">
      <c r="A301">
        <v>283</v>
      </c>
      <c r="B301" t="s">
        <v>101</v>
      </c>
      <c r="C301">
        <v>1</v>
      </c>
      <c r="D301" t="s">
        <v>103</v>
      </c>
      <c r="E301">
        <v>11</v>
      </c>
      <c r="F301">
        <v>17</v>
      </c>
      <c r="G301">
        <v>6</v>
      </c>
      <c r="H301">
        <v>443000</v>
      </c>
      <c r="I301">
        <v>26580</v>
      </c>
      <c r="J301">
        <v>9857.8198507783309</v>
      </c>
      <c r="K301">
        <v>26580</v>
      </c>
      <c r="L301">
        <v>506017.81985077797</v>
      </c>
      <c r="M301">
        <v>886</v>
      </c>
      <c r="N301">
        <v>3986.99999999999</v>
      </c>
      <c r="O301">
        <v>360</v>
      </c>
      <c r="P301">
        <v>300</v>
      </c>
      <c r="Q301">
        <v>5533</v>
      </c>
      <c r="R301">
        <v>4430</v>
      </c>
      <c r="S301">
        <v>6072.2138382093399</v>
      </c>
      <c r="T301">
        <v>13290</v>
      </c>
      <c r="U301">
        <v>15180.534595523301</v>
      </c>
      <c r="V301" s="10">
        <f t="shared" si="13"/>
        <v>63017.819850777974</v>
      </c>
    </row>
    <row r="302" spans="1:22" ht="16" x14ac:dyDescent="0.2">
      <c r="A302">
        <v>286</v>
      </c>
      <c r="B302" t="s">
        <v>101</v>
      </c>
      <c r="C302">
        <v>1</v>
      </c>
      <c r="D302" t="s">
        <v>103</v>
      </c>
      <c r="E302">
        <v>11</v>
      </c>
      <c r="F302">
        <v>17</v>
      </c>
      <c r="G302">
        <v>6</v>
      </c>
      <c r="H302">
        <v>443000</v>
      </c>
      <c r="I302">
        <v>26580</v>
      </c>
      <c r="J302">
        <v>9857.8198507783309</v>
      </c>
      <c r="K302">
        <v>26580</v>
      </c>
      <c r="L302">
        <v>506017.81985077797</v>
      </c>
      <c r="M302">
        <v>886</v>
      </c>
      <c r="N302">
        <v>3986.99999999999</v>
      </c>
      <c r="O302">
        <v>360</v>
      </c>
      <c r="P302">
        <v>300</v>
      </c>
      <c r="Q302">
        <v>5533</v>
      </c>
      <c r="R302">
        <v>4430</v>
      </c>
      <c r="S302">
        <v>6072.2138382093399</v>
      </c>
      <c r="T302">
        <v>13290</v>
      </c>
      <c r="U302">
        <v>15180.534595523301</v>
      </c>
      <c r="V302" s="10">
        <f t="shared" si="13"/>
        <v>63017.819850777974</v>
      </c>
    </row>
    <row r="303" spans="1:22" ht="16" x14ac:dyDescent="0.2">
      <c r="A303">
        <v>290</v>
      </c>
      <c r="B303" t="s">
        <v>101</v>
      </c>
      <c r="C303">
        <v>1</v>
      </c>
      <c r="D303" t="s">
        <v>104</v>
      </c>
      <c r="E303">
        <v>11</v>
      </c>
      <c r="F303">
        <v>17</v>
      </c>
      <c r="G303">
        <v>6</v>
      </c>
      <c r="H303">
        <v>676000</v>
      </c>
      <c r="I303">
        <v>33800</v>
      </c>
      <c r="J303">
        <v>16693.871778868899</v>
      </c>
      <c r="K303">
        <v>33800</v>
      </c>
      <c r="L303">
        <v>760293.87177886895</v>
      </c>
      <c r="M303">
        <v>1352</v>
      </c>
      <c r="N303">
        <v>6083.99999999999</v>
      </c>
      <c r="O303">
        <v>360</v>
      </c>
      <c r="P303">
        <v>300</v>
      </c>
      <c r="Q303">
        <v>8095.99999999999</v>
      </c>
      <c r="R303">
        <v>6760</v>
      </c>
      <c r="S303">
        <v>9123.5264613464205</v>
      </c>
      <c r="T303">
        <v>20280</v>
      </c>
      <c r="U303">
        <v>22808.816153365999</v>
      </c>
      <c r="V303" s="10">
        <f t="shared" si="13"/>
        <v>84293.871778868954</v>
      </c>
    </row>
    <row r="304" spans="1:22" ht="16" x14ac:dyDescent="0.2">
      <c r="A304">
        <v>291</v>
      </c>
      <c r="B304" t="s">
        <v>101</v>
      </c>
      <c r="C304">
        <v>1</v>
      </c>
      <c r="D304" t="s">
        <v>102</v>
      </c>
      <c r="E304">
        <v>12</v>
      </c>
      <c r="F304">
        <v>17</v>
      </c>
      <c r="G304">
        <v>5</v>
      </c>
      <c r="H304">
        <v>338000</v>
      </c>
      <c r="I304">
        <v>27040</v>
      </c>
      <c r="J304">
        <v>5568.9637343662098</v>
      </c>
      <c r="K304">
        <v>27040</v>
      </c>
      <c r="L304">
        <v>397648.963734366</v>
      </c>
      <c r="M304">
        <v>563.33333333333303</v>
      </c>
      <c r="N304">
        <v>2534.99999999999</v>
      </c>
      <c r="O304">
        <v>300</v>
      </c>
      <c r="P304">
        <v>250</v>
      </c>
      <c r="Q304">
        <v>3648.3333333333298</v>
      </c>
      <c r="R304">
        <v>3380</v>
      </c>
      <c r="S304">
        <v>4771.78756481239</v>
      </c>
      <c r="T304">
        <v>10140</v>
      </c>
      <c r="U304">
        <v>11929.468912030899</v>
      </c>
      <c r="V304" s="10">
        <f t="shared" si="13"/>
        <v>59648.963734366</v>
      </c>
    </row>
    <row r="305" spans="1:22" ht="16" x14ac:dyDescent="0.2">
      <c r="A305">
        <v>292</v>
      </c>
      <c r="B305" t="s">
        <v>101</v>
      </c>
      <c r="C305">
        <v>1</v>
      </c>
      <c r="D305" t="s">
        <v>102</v>
      </c>
      <c r="E305">
        <v>12</v>
      </c>
      <c r="F305">
        <v>17</v>
      </c>
      <c r="G305">
        <v>5</v>
      </c>
      <c r="H305">
        <v>338000</v>
      </c>
      <c r="I305">
        <v>27040</v>
      </c>
      <c r="J305">
        <v>5568.9637343662098</v>
      </c>
      <c r="K305">
        <v>27040</v>
      </c>
      <c r="L305">
        <v>397648.963734366</v>
      </c>
      <c r="M305">
        <v>563.33333333333303</v>
      </c>
      <c r="N305">
        <v>2534.99999999999</v>
      </c>
      <c r="O305">
        <v>300</v>
      </c>
      <c r="P305">
        <v>250</v>
      </c>
      <c r="Q305">
        <v>3648.3333333333298</v>
      </c>
      <c r="R305">
        <v>3380</v>
      </c>
      <c r="S305">
        <v>4771.78756481239</v>
      </c>
      <c r="T305">
        <v>10140</v>
      </c>
      <c r="U305">
        <v>11929.468912030899</v>
      </c>
      <c r="V305" s="10">
        <f t="shared" si="13"/>
        <v>59648.963734366</v>
      </c>
    </row>
    <row r="306" spans="1:22" ht="16" x14ac:dyDescent="0.2">
      <c r="A306">
        <v>294</v>
      </c>
      <c r="B306" t="s">
        <v>101</v>
      </c>
      <c r="C306">
        <v>1</v>
      </c>
      <c r="D306" t="s">
        <v>102</v>
      </c>
      <c r="E306">
        <v>12</v>
      </c>
      <c r="F306">
        <v>17</v>
      </c>
      <c r="G306">
        <v>5</v>
      </c>
      <c r="H306">
        <v>338000</v>
      </c>
      <c r="I306">
        <v>27040</v>
      </c>
      <c r="J306">
        <v>5568.9637343662098</v>
      </c>
      <c r="K306">
        <v>27040</v>
      </c>
      <c r="L306">
        <v>397648.963734366</v>
      </c>
      <c r="M306">
        <v>563.33333333333303</v>
      </c>
      <c r="N306">
        <v>2534.99999999999</v>
      </c>
      <c r="O306">
        <v>300</v>
      </c>
      <c r="P306">
        <v>250</v>
      </c>
      <c r="Q306">
        <v>3648.3333333333298</v>
      </c>
      <c r="R306">
        <v>3380</v>
      </c>
      <c r="S306">
        <v>4771.78756481239</v>
      </c>
      <c r="T306">
        <v>10140</v>
      </c>
      <c r="U306">
        <v>11929.468912030899</v>
      </c>
      <c r="V306" s="10">
        <f t="shared" si="13"/>
        <v>59648.963734366</v>
      </c>
    </row>
    <row r="307" spans="1:22" ht="16" x14ac:dyDescent="0.2">
      <c r="A307">
        <v>296</v>
      </c>
      <c r="B307" t="s">
        <v>101</v>
      </c>
      <c r="C307">
        <v>1</v>
      </c>
      <c r="D307" t="s">
        <v>103</v>
      </c>
      <c r="E307">
        <v>12</v>
      </c>
      <c r="F307">
        <v>17</v>
      </c>
      <c r="G307">
        <v>5</v>
      </c>
      <c r="H307">
        <v>443000</v>
      </c>
      <c r="I307">
        <v>26580</v>
      </c>
      <c r="J307">
        <v>8199.7467798370599</v>
      </c>
      <c r="K307">
        <v>26580</v>
      </c>
      <c r="L307">
        <v>504359.74677983701</v>
      </c>
      <c r="M307">
        <v>738.33333333333303</v>
      </c>
      <c r="N307">
        <v>3322.49999999999</v>
      </c>
      <c r="O307">
        <v>300</v>
      </c>
      <c r="P307">
        <v>250</v>
      </c>
      <c r="Q307">
        <v>4610.8333333333303</v>
      </c>
      <c r="R307">
        <v>4430</v>
      </c>
      <c r="S307">
        <v>6052.3169613580403</v>
      </c>
      <c r="T307">
        <v>13290</v>
      </c>
      <c r="U307">
        <v>15130.7924033951</v>
      </c>
      <c r="V307" s="10">
        <f t="shared" si="13"/>
        <v>61359.746779837005</v>
      </c>
    </row>
    <row r="308" spans="1:22" ht="16" x14ac:dyDescent="0.2">
      <c r="A308">
        <v>297</v>
      </c>
      <c r="B308" t="s">
        <v>101</v>
      </c>
      <c r="C308">
        <v>1</v>
      </c>
      <c r="D308" t="s">
        <v>103</v>
      </c>
      <c r="E308">
        <v>12</v>
      </c>
      <c r="F308">
        <v>17</v>
      </c>
      <c r="G308">
        <v>5</v>
      </c>
      <c r="H308">
        <v>443000</v>
      </c>
      <c r="I308">
        <v>26580</v>
      </c>
      <c r="J308">
        <v>8199.7467798370599</v>
      </c>
      <c r="K308">
        <v>26580</v>
      </c>
      <c r="L308">
        <v>504359.74677983701</v>
      </c>
      <c r="M308">
        <v>738.33333333333303</v>
      </c>
      <c r="N308">
        <v>3322.49999999999</v>
      </c>
      <c r="O308">
        <v>300</v>
      </c>
      <c r="P308">
        <v>250</v>
      </c>
      <c r="Q308">
        <v>4610.8333333333303</v>
      </c>
      <c r="R308">
        <v>4430</v>
      </c>
      <c r="S308">
        <v>6052.3169613580403</v>
      </c>
      <c r="T308">
        <v>13290</v>
      </c>
      <c r="U308">
        <v>15130.7924033951</v>
      </c>
      <c r="V308" s="10">
        <f t="shared" si="13"/>
        <v>61359.746779837005</v>
      </c>
    </row>
    <row r="309" spans="1:22" ht="16" x14ac:dyDescent="0.2">
      <c r="A309">
        <v>298</v>
      </c>
      <c r="B309" t="s">
        <v>101</v>
      </c>
      <c r="C309">
        <v>1</v>
      </c>
      <c r="D309" t="s">
        <v>103</v>
      </c>
      <c r="E309">
        <v>12</v>
      </c>
      <c r="F309">
        <v>17</v>
      </c>
      <c r="G309">
        <v>5</v>
      </c>
      <c r="H309">
        <v>443000</v>
      </c>
      <c r="I309">
        <v>26580</v>
      </c>
      <c r="J309">
        <v>8199.7467798370599</v>
      </c>
      <c r="K309">
        <v>26580</v>
      </c>
      <c r="L309">
        <v>504359.74677983701</v>
      </c>
      <c r="M309">
        <v>738.33333333333303</v>
      </c>
      <c r="N309">
        <v>3322.49999999999</v>
      </c>
      <c r="O309">
        <v>300</v>
      </c>
      <c r="P309">
        <v>250</v>
      </c>
      <c r="Q309">
        <v>4610.8333333333303</v>
      </c>
      <c r="R309">
        <v>4430</v>
      </c>
      <c r="S309">
        <v>6052.3169613580403</v>
      </c>
      <c r="T309">
        <v>13290</v>
      </c>
      <c r="U309">
        <v>15130.7924033951</v>
      </c>
      <c r="V309" s="10">
        <f t="shared" si="13"/>
        <v>61359.746779837005</v>
      </c>
    </row>
    <row r="310" spans="1:22" ht="16" x14ac:dyDescent="0.2">
      <c r="V310" s="11">
        <f>SUM(V298:V309)</f>
        <v>786507.27508125966</v>
      </c>
    </row>
    <row r="311" spans="1:22" ht="16" x14ac:dyDescent="0.2">
      <c r="A311">
        <v>289</v>
      </c>
      <c r="B311" t="s">
        <v>101</v>
      </c>
      <c r="C311">
        <v>1</v>
      </c>
      <c r="D311" t="s">
        <v>104</v>
      </c>
      <c r="E311">
        <v>11</v>
      </c>
      <c r="F311">
        <v>18</v>
      </c>
      <c r="G311">
        <v>7</v>
      </c>
      <c r="H311">
        <v>676000</v>
      </c>
      <c r="I311">
        <v>33800</v>
      </c>
      <c r="J311">
        <v>19515.992356670598</v>
      </c>
      <c r="K311">
        <v>33800</v>
      </c>
      <c r="L311">
        <v>763115.99235666997</v>
      </c>
      <c r="M311">
        <v>1577.3333333333301</v>
      </c>
      <c r="N311">
        <v>7097.99999999999</v>
      </c>
      <c r="O311">
        <v>420</v>
      </c>
      <c r="P311">
        <v>350</v>
      </c>
      <c r="Q311">
        <v>9445.3333333333303</v>
      </c>
      <c r="R311">
        <v>6760</v>
      </c>
      <c r="S311">
        <v>9157.3919082800403</v>
      </c>
      <c r="T311">
        <v>20280</v>
      </c>
      <c r="U311">
        <v>22893.479770700102</v>
      </c>
      <c r="V311" s="10">
        <f>L311-H311</f>
        <v>87115.992356669973</v>
      </c>
    </row>
    <row r="312" spans="1:22" ht="16" x14ac:dyDescent="0.2">
      <c r="A312">
        <v>295</v>
      </c>
      <c r="B312" t="s">
        <v>101</v>
      </c>
      <c r="C312">
        <v>1</v>
      </c>
      <c r="D312" t="s">
        <v>103</v>
      </c>
      <c r="E312">
        <v>12</v>
      </c>
      <c r="F312">
        <v>18</v>
      </c>
      <c r="G312">
        <v>6</v>
      </c>
      <c r="H312">
        <v>443000</v>
      </c>
      <c r="I312">
        <v>26580</v>
      </c>
      <c r="J312">
        <v>9857.8198507783309</v>
      </c>
      <c r="K312">
        <v>26580</v>
      </c>
      <c r="L312">
        <v>506017.81985077797</v>
      </c>
      <c r="M312">
        <v>886</v>
      </c>
      <c r="N312">
        <v>3986.99999999999</v>
      </c>
      <c r="O312">
        <v>360</v>
      </c>
      <c r="P312">
        <v>300</v>
      </c>
      <c r="Q312">
        <v>5533</v>
      </c>
      <c r="R312">
        <v>4430</v>
      </c>
      <c r="S312">
        <v>6072.2138382093399</v>
      </c>
      <c r="T312">
        <v>13290</v>
      </c>
      <c r="U312">
        <v>15180.534595523301</v>
      </c>
      <c r="V312" s="10">
        <f>L312-H312</f>
        <v>63017.819850777974</v>
      </c>
    </row>
    <row r="313" spans="1:22" ht="16" x14ac:dyDescent="0.2">
      <c r="A313">
        <v>299</v>
      </c>
      <c r="B313" t="s">
        <v>101</v>
      </c>
      <c r="C313">
        <v>1</v>
      </c>
      <c r="D313" t="s">
        <v>103</v>
      </c>
      <c r="E313">
        <v>12</v>
      </c>
      <c r="F313">
        <v>18</v>
      </c>
      <c r="G313">
        <v>6</v>
      </c>
      <c r="H313">
        <v>443000</v>
      </c>
      <c r="I313">
        <v>26580</v>
      </c>
      <c r="J313">
        <v>9857.8198507783309</v>
      </c>
      <c r="K313">
        <v>26580</v>
      </c>
      <c r="L313">
        <v>506017.81985077797</v>
      </c>
      <c r="M313">
        <v>886</v>
      </c>
      <c r="N313">
        <v>3986.99999999999</v>
      </c>
      <c r="O313">
        <v>360</v>
      </c>
      <c r="P313">
        <v>300</v>
      </c>
      <c r="Q313">
        <v>5533</v>
      </c>
      <c r="R313">
        <v>4430</v>
      </c>
      <c r="S313">
        <v>6072.2138382093399</v>
      </c>
      <c r="T313">
        <v>13290</v>
      </c>
      <c r="U313">
        <v>15180.534595523301</v>
      </c>
      <c r="V313" s="10">
        <f>L313-H313</f>
        <v>63017.819850777974</v>
      </c>
    </row>
    <row r="314" spans="1:22" ht="16" x14ac:dyDescent="0.2">
      <c r="A314">
        <v>300</v>
      </c>
      <c r="B314" t="s">
        <v>101</v>
      </c>
      <c r="C314">
        <v>1</v>
      </c>
      <c r="D314" t="s">
        <v>104</v>
      </c>
      <c r="E314">
        <v>12</v>
      </c>
      <c r="F314">
        <v>18</v>
      </c>
      <c r="G314">
        <v>6</v>
      </c>
      <c r="H314">
        <v>676000</v>
      </c>
      <c r="I314">
        <v>33800</v>
      </c>
      <c r="J314">
        <v>16693.871778868899</v>
      </c>
      <c r="K314">
        <v>33800</v>
      </c>
      <c r="L314">
        <v>760293.87177886895</v>
      </c>
      <c r="M314">
        <v>1352</v>
      </c>
      <c r="N314">
        <v>6083.99999999999</v>
      </c>
      <c r="O314">
        <v>360</v>
      </c>
      <c r="P314">
        <v>300</v>
      </c>
      <c r="Q314">
        <v>8095.99999999999</v>
      </c>
      <c r="R314">
        <v>6760</v>
      </c>
      <c r="S314">
        <v>9123.5264613464205</v>
      </c>
      <c r="T314">
        <v>20280</v>
      </c>
      <c r="U314">
        <v>22808.816153365999</v>
      </c>
      <c r="V314" s="10">
        <f>L314-H314</f>
        <v>84293.871778868954</v>
      </c>
    </row>
    <row r="315" spans="1:22" ht="16" x14ac:dyDescent="0.2">
      <c r="V315" s="11">
        <f>SUM(V311:V314)</f>
        <v>297445.50383709488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topLeftCell="A5" zoomScale="140" workbookViewId="0">
      <selection activeCell="E2" sqref="E2:E33"/>
    </sheetView>
  </sheetViews>
  <sheetFormatPr baseColWidth="10" defaultColWidth="8.83203125" defaultRowHeight="15" x14ac:dyDescent="0.2"/>
  <cols>
    <col min="1" max="1" width="16.83203125" customWidth="1"/>
    <col min="2" max="7" width="16.6640625" customWidth="1"/>
  </cols>
  <sheetData>
    <row r="1" spans="1:6" x14ac:dyDescent="0.2">
      <c r="A1" s="1" t="s">
        <v>37</v>
      </c>
      <c r="B1" s="7" t="s">
        <v>38</v>
      </c>
      <c r="C1" s="7" t="s">
        <v>180</v>
      </c>
      <c r="D1" s="7" t="s">
        <v>181</v>
      </c>
      <c r="E1" s="7" t="s">
        <v>182</v>
      </c>
      <c r="F1" s="7" t="s">
        <v>39</v>
      </c>
    </row>
    <row r="2" spans="1:6" x14ac:dyDescent="0.2">
      <c r="A2" s="1" t="s">
        <v>24</v>
      </c>
      <c r="B2" s="18">
        <f>Assumptions!B4+operation_exp!J2</f>
        <v>495411075.16666669</v>
      </c>
      <c r="C2">
        <f>calculation_sheet!G2</f>
        <v>4243000</v>
      </c>
      <c r="D2" s="18">
        <f>B2+C2</f>
        <v>499654075.16666669</v>
      </c>
      <c r="E2" s="3">
        <f>operation_exp!C2+operation_exp!A2+Assumptions!$C$17</f>
        <v>301997</v>
      </c>
      <c r="F2" s="18">
        <f>D2-E2</f>
        <v>499352078.16666669</v>
      </c>
    </row>
    <row r="3" spans="1:6" x14ac:dyDescent="0.2">
      <c r="A3" s="1" t="s">
        <v>25</v>
      </c>
      <c r="B3" s="18">
        <f>Assumptions!$B$4+operation_exp!J3</f>
        <v>488243639</v>
      </c>
      <c r="C3">
        <f>C2+calculation_sheet!G3</f>
        <v>10829000</v>
      </c>
      <c r="D3" s="18">
        <f t="shared" ref="D3:D34" si="0">B3+C3</f>
        <v>499072639</v>
      </c>
      <c r="E3" s="3">
        <f>operation_exp!C3+operation_exp!A3+Assumptions!$C$17</f>
        <v>301997</v>
      </c>
      <c r="F3" s="18">
        <f>D3-E3</f>
        <v>498770642</v>
      </c>
    </row>
    <row r="4" spans="1:6" x14ac:dyDescent="0.2">
      <c r="A4" s="1" t="s">
        <v>26</v>
      </c>
      <c r="B4" s="18">
        <f>Assumptions!$B$4+operation_exp!J4</f>
        <v>478746485.5</v>
      </c>
      <c r="C4">
        <f>C3+calculation_sheet!G4</f>
        <v>19653000</v>
      </c>
      <c r="D4" s="18">
        <f t="shared" si="0"/>
        <v>498399485.5</v>
      </c>
      <c r="E4" s="3">
        <f>operation_exp!C4+operation_exp!A4+Assumptions!$C$17</f>
        <v>301997</v>
      </c>
      <c r="F4" s="18">
        <f t="shared" ref="F3:F34" si="1">D4-E4</f>
        <v>498097488.5</v>
      </c>
    </row>
    <row r="5" spans="1:6" x14ac:dyDescent="0.2">
      <c r="A5" s="1" t="s">
        <v>27</v>
      </c>
      <c r="B5" s="18">
        <f>Assumptions!$B$4+operation_exp!J5</f>
        <v>466900161.66666669</v>
      </c>
      <c r="C5">
        <f>C4+calculation_sheet!G5</f>
        <v>30715000</v>
      </c>
      <c r="D5" s="18">
        <f>B5+C5</f>
        <v>497615161.66666669</v>
      </c>
      <c r="E5" s="3">
        <f>operation_exp!C5+operation_exp!A5+Assumptions!$C$17</f>
        <v>301997</v>
      </c>
      <c r="F5" s="18">
        <f>D5-E5</f>
        <v>497313164.66666669</v>
      </c>
    </row>
    <row r="6" spans="1:6" x14ac:dyDescent="0.2">
      <c r="A6" s="1" t="s">
        <v>28</v>
      </c>
      <c r="B6" s="18">
        <f>Assumptions!$B$4+operation_exp!J6</f>
        <v>451349002.92969191</v>
      </c>
      <c r="C6">
        <f>C5+calculation_sheet!G6-final_phase1_full_costs!AA4</f>
        <v>45449000</v>
      </c>
      <c r="D6" s="18">
        <f t="shared" si="0"/>
        <v>496798002.92969191</v>
      </c>
      <c r="E6" s="3">
        <f>operation_exp!C6+operation_exp!A6+Assumptions!$C$17</f>
        <v>301997</v>
      </c>
      <c r="F6" s="18">
        <f t="shared" si="1"/>
        <v>496496005.92969191</v>
      </c>
    </row>
    <row r="7" spans="1:6" x14ac:dyDescent="0.2">
      <c r="A7" s="1" t="s">
        <v>29</v>
      </c>
      <c r="B7" s="18">
        <f>Assumptions!$B$4+operation_exp!J7</f>
        <v>437579054.12616742</v>
      </c>
      <c r="C7">
        <f>C6+calculation_sheet!G7-final_phase1_full_costs!AA5</f>
        <v>58959000</v>
      </c>
      <c r="D7" s="18">
        <f t="shared" si="0"/>
        <v>496538054.12616742</v>
      </c>
      <c r="E7" s="3">
        <f>operation_exp!C7+operation_exp!A7+Assumptions!$C$17</f>
        <v>301997</v>
      </c>
      <c r="F7" s="18">
        <f t="shared" si="1"/>
        <v>496236057.12616742</v>
      </c>
    </row>
    <row r="8" spans="1:6" x14ac:dyDescent="0.2">
      <c r="A8" s="1" t="s">
        <v>30</v>
      </c>
      <c r="B8" s="18">
        <f>Assumptions!$B$4+operation_exp!J8</f>
        <v>426531231.73808324</v>
      </c>
      <c r="C8">
        <f>C7+calculation_sheet!G8-final_phase1_full_costs!AA6</f>
        <v>70126000</v>
      </c>
      <c r="D8" s="18">
        <f t="shared" si="0"/>
        <v>496657231.73808324</v>
      </c>
      <c r="E8" s="3">
        <f>operation_exp!C8+operation_exp!A8+Assumptions!$C$17</f>
        <v>301997</v>
      </c>
      <c r="F8" s="18">
        <f t="shared" si="1"/>
        <v>496355234.73808324</v>
      </c>
    </row>
    <row r="9" spans="1:6" x14ac:dyDescent="0.2">
      <c r="A9" s="1" t="s">
        <v>31</v>
      </c>
      <c r="B9" s="18">
        <f>Assumptions!$B$4+operation_exp!J9</f>
        <v>424208358.96711552</v>
      </c>
      <c r="C9">
        <f>C8+calculation_sheet!G9-final_phase1_full_costs!AA7</f>
        <v>73565000</v>
      </c>
      <c r="D9" s="18">
        <f t="shared" si="0"/>
        <v>497773358.96711552</v>
      </c>
      <c r="E9" s="3">
        <f>operation_exp!C9+operation_exp!A9+Assumptions!$C$17</f>
        <v>301997</v>
      </c>
      <c r="F9" s="18">
        <f t="shared" si="1"/>
        <v>497471361.96711552</v>
      </c>
    </row>
    <row r="10" spans="1:6" x14ac:dyDescent="0.2">
      <c r="A10" s="1" t="s">
        <v>32</v>
      </c>
      <c r="B10" s="18">
        <f>Assumptions!$B$4+operation_exp!J10</f>
        <v>423500446.29068935</v>
      </c>
      <c r="C10">
        <f>C9+calculation_sheet!G10-final_phase1_full_costs!AA8</f>
        <v>75360000</v>
      </c>
      <c r="D10" s="18">
        <f t="shared" si="0"/>
        <v>498860446.29068935</v>
      </c>
      <c r="E10" s="3">
        <f>operation_exp!C10+operation_exp!A10+Assumptions!$C$17</f>
        <v>301997</v>
      </c>
      <c r="F10" s="18">
        <f t="shared" si="1"/>
        <v>498558449.29068935</v>
      </c>
    </row>
    <row r="11" spans="1:6" x14ac:dyDescent="0.2">
      <c r="A11" s="1" t="s">
        <v>33</v>
      </c>
      <c r="B11" s="18">
        <f>Assumptions!$B$4+operation_exp!J11</f>
        <v>426259507.29764175</v>
      </c>
      <c r="C11">
        <f>C10+calculation_sheet!G11-final_phase1_full_costs!AA9</f>
        <v>74008000</v>
      </c>
      <c r="D11" s="18">
        <f t="shared" si="0"/>
        <v>500267507.29764175</v>
      </c>
      <c r="E11" s="3">
        <f>operation_exp!C11+operation_exp!A11+Assumptions!$C$17</f>
        <v>301997</v>
      </c>
      <c r="F11" s="18">
        <f t="shared" si="1"/>
        <v>499965510.29764175</v>
      </c>
    </row>
    <row r="12" spans="1:6" x14ac:dyDescent="0.2">
      <c r="A12" s="1" t="s">
        <v>34</v>
      </c>
      <c r="B12" s="18">
        <f>Assumptions!$B$4+operation_exp!J12</f>
        <v>443392824.09803355</v>
      </c>
      <c r="C12">
        <f>C11+calculation_sheet!G12-final_phase1_full_costs!AA10</f>
        <v>59868000</v>
      </c>
      <c r="D12" s="18">
        <f t="shared" si="0"/>
        <v>503260824.09803355</v>
      </c>
      <c r="E12" s="3">
        <f>operation_exp!C12+operation_exp!A12+Assumptions!$C$17</f>
        <v>301997</v>
      </c>
      <c r="F12" s="18">
        <f t="shared" si="1"/>
        <v>502958827.09803355</v>
      </c>
    </row>
    <row r="13" spans="1:6" x14ac:dyDescent="0.2">
      <c r="A13" s="1" t="s">
        <v>35</v>
      </c>
      <c r="B13" s="18">
        <f>Assumptions!$B$4+operation_exp!J13</f>
        <v>452273719.74561477</v>
      </c>
      <c r="C13">
        <f>C12+calculation_sheet!G13-final_phase1_full_costs!AA11</f>
        <v>52373000</v>
      </c>
      <c r="D13" s="18">
        <f t="shared" si="0"/>
        <v>504646719.74561477</v>
      </c>
      <c r="E13" s="3">
        <f>operation_exp!C13+operation_exp!A13+Assumptions!$C$17</f>
        <v>433997</v>
      </c>
      <c r="F13" s="18">
        <f>D13-E13</f>
        <v>504212722.74561477</v>
      </c>
    </row>
    <row r="14" spans="1:6" x14ac:dyDescent="0.2">
      <c r="A14" s="1" t="s">
        <v>24</v>
      </c>
      <c r="B14" s="18">
        <f>Assumptions!$B$4+operation_exp!J14</f>
        <v>464799981.9295463</v>
      </c>
      <c r="C14">
        <f>C13+calculation_sheet!G14-final_phase1_full_costs!AA12</f>
        <v>41649000</v>
      </c>
      <c r="D14" s="18">
        <f t="shared" si="0"/>
        <v>506448981.9295463</v>
      </c>
      <c r="E14" s="3">
        <f>operation_exp!C14+operation_exp!A14+Assumptions!$C$17</f>
        <v>433997</v>
      </c>
      <c r="F14" s="18">
        <f t="shared" si="1"/>
        <v>506014984.9295463</v>
      </c>
    </row>
    <row r="15" spans="1:6" x14ac:dyDescent="0.2">
      <c r="A15" s="1" t="s">
        <v>25</v>
      </c>
      <c r="B15" s="18">
        <f>Assumptions!$B$4+operation_exp!J15</f>
        <v>472039270.57880801</v>
      </c>
      <c r="C15">
        <f>C14+calculation_sheet!G15-final_phase1_full_costs!AA13</f>
        <v>35611000</v>
      </c>
      <c r="D15" s="18">
        <f t="shared" si="0"/>
        <v>507650270.57880801</v>
      </c>
      <c r="E15" s="3">
        <f>operation_exp!C15+operation_exp!A15+Assumptions!$C$17</f>
        <v>433997</v>
      </c>
      <c r="F15" s="18">
        <f t="shared" si="1"/>
        <v>507216273.57880801</v>
      </c>
    </row>
    <row r="16" spans="1:6" x14ac:dyDescent="0.2">
      <c r="A16" s="1" t="s">
        <v>26</v>
      </c>
      <c r="B16" s="18">
        <f>Assumptions!$B$4+operation_exp!J16</f>
        <v>481667908.98461598</v>
      </c>
      <c r="C16">
        <f>C15+calculation_sheet!G16-final_phase1_full_costs!AA14</f>
        <v>27696000</v>
      </c>
      <c r="D16" s="18">
        <f t="shared" si="0"/>
        <v>509363908.98461598</v>
      </c>
      <c r="E16" s="3">
        <f>operation_exp!C16+operation_exp!A16+Assumptions!$C$17</f>
        <v>491995.8</v>
      </c>
      <c r="F16" s="18">
        <f t="shared" si="1"/>
        <v>508871913.18461597</v>
      </c>
    </row>
    <row r="17" spans="1:6" x14ac:dyDescent="0.2">
      <c r="A17" s="1" t="s">
        <v>27</v>
      </c>
      <c r="B17" s="18">
        <f>Assumptions!$B$4+operation_exp!J17</f>
        <v>476589886.7770083</v>
      </c>
      <c r="C17">
        <f>C16+calculation_sheet!G17-final_phase1_full_costs!AA15</f>
        <v>32857000</v>
      </c>
      <c r="D17" s="18">
        <f t="shared" si="0"/>
        <v>509446886.7770083</v>
      </c>
      <c r="E17" s="3">
        <f>operation_exp!C17+operation_exp!A17+Assumptions!$C$17</f>
        <v>491995.8</v>
      </c>
      <c r="F17" s="18">
        <f t="shared" si="1"/>
        <v>508954890.97700828</v>
      </c>
    </row>
    <row r="18" spans="1:6" x14ac:dyDescent="0.2">
      <c r="A18" s="1" t="s">
        <v>28</v>
      </c>
      <c r="B18" s="18">
        <f>Assumptions!$B$4+operation_exp!J18</f>
        <v>468106530.70057404</v>
      </c>
      <c r="C18">
        <f>C17+calculation_sheet!G18-final_phase1_full_costs!AA16</f>
        <v>41247000</v>
      </c>
      <c r="D18" s="18">
        <f t="shared" si="0"/>
        <v>509353530.70057404</v>
      </c>
      <c r="E18" s="3">
        <f>operation_exp!C18+operation_exp!A18+Assumptions!$C$17</f>
        <v>491995.8</v>
      </c>
      <c r="F18" s="18">
        <f t="shared" si="1"/>
        <v>508861534.90057403</v>
      </c>
    </row>
    <row r="19" spans="1:6" x14ac:dyDescent="0.2">
      <c r="A19" s="1" t="s">
        <v>29</v>
      </c>
      <c r="B19" s="18">
        <f>Assumptions!$B$4+operation_exp!J19</f>
        <v>451365989.29736412</v>
      </c>
      <c r="C19">
        <f>C18+calculation_sheet!G19-final_phase1_full_costs!AA17</f>
        <v>57346000</v>
      </c>
      <c r="D19" s="18">
        <f t="shared" si="0"/>
        <v>508711989.29736412</v>
      </c>
      <c r="E19" s="3">
        <f>operation_exp!C19+operation_exp!A19+Assumptions!$C$17</f>
        <v>491995.8</v>
      </c>
      <c r="F19" s="18">
        <f t="shared" si="1"/>
        <v>508219993.4973641</v>
      </c>
    </row>
    <row r="20" spans="1:6" x14ac:dyDescent="0.2">
      <c r="A20" s="1" t="s">
        <v>30</v>
      </c>
      <c r="B20" s="18">
        <f>Assumptions!$B$4+operation_exp!J20</f>
        <v>433338387.73994637</v>
      </c>
      <c r="C20">
        <f>C19+calculation_sheet!G20-final_phase1_full_costs!AA18</f>
        <v>74680000</v>
      </c>
      <c r="D20" s="18">
        <f t="shared" si="0"/>
        <v>508018387.73994637</v>
      </c>
      <c r="E20" s="3">
        <f>operation_exp!C20+operation_exp!A20+Assumptions!$C$17</f>
        <v>491995.8</v>
      </c>
      <c r="F20" s="18">
        <f t="shared" si="1"/>
        <v>507526391.93994635</v>
      </c>
    </row>
    <row r="21" spans="1:6" x14ac:dyDescent="0.2">
      <c r="A21" s="1" t="s">
        <v>31</v>
      </c>
      <c r="B21" s="18">
        <f>Assumptions!$B$4+operation_exp!J21</f>
        <v>415612047.61958927</v>
      </c>
      <c r="C21">
        <f>C20+calculation_sheet!G21-final_phase1_full_costs!AA19</f>
        <v>91572000</v>
      </c>
      <c r="D21" s="18">
        <f t="shared" si="0"/>
        <v>507184047.61958927</v>
      </c>
      <c r="E21" s="3">
        <f>operation_exp!C21+operation_exp!A21+Assumptions!$C$17</f>
        <v>491995.8</v>
      </c>
      <c r="F21" s="18">
        <f t="shared" si="1"/>
        <v>506692051.81958926</v>
      </c>
    </row>
    <row r="22" spans="1:6" x14ac:dyDescent="0.2">
      <c r="A22" s="1" t="s">
        <v>32</v>
      </c>
      <c r="B22" s="18">
        <f>Assumptions!$B$4+operation_exp!J22</f>
        <v>405131068.95288062</v>
      </c>
      <c r="C22">
        <f>C21+calculation_sheet!G22-final_phase1_full_costs!AA20</f>
        <v>102324000</v>
      </c>
      <c r="D22" s="18">
        <f t="shared" si="0"/>
        <v>507455068.95288062</v>
      </c>
      <c r="E22" s="3">
        <f>operation_exp!C22+operation_exp!A22+Assumptions!$C$17</f>
        <v>491995.8</v>
      </c>
      <c r="F22" s="18">
        <f t="shared" si="1"/>
        <v>506963073.15288061</v>
      </c>
    </row>
    <row r="23" spans="1:6" x14ac:dyDescent="0.2">
      <c r="A23" s="1" t="s">
        <v>33</v>
      </c>
      <c r="B23" s="18">
        <f>Assumptions!$B$4+operation_exp!J23</f>
        <v>406461802.66835505</v>
      </c>
      <c r="C23">
        <f>C22+calculation_sheet!G23-final_phase1_full_costs!AA21</f>
        <v>102324000</v>
      </c>
      <c r="D23" s="18">
        <f t="shared" si="0"/>
        <v>508785802.66835505</v>
      </c>
      <c r="E23" s="3">
        <f>operation_exp!C23+operation_exp!A23+Assumptions!$C$17</f>
        <v>491995.8</v>
      </c>
      <c r="F23" s="18">
        <f t="shared" si="1"/>
        <v>508293806.86835504</v>
      </c>
    </row>
    <row r="24" spans="1:6" x14ac:dyDescent="0.2">
      <c r="A24" s="1" t="s">
        <v>34</v>
      </c>
      <c r="B24" s="18">
        <f>Assumptions!$B$4+operation_exp!J24</f>
        <v>422802564.23131073</v>
      </c>
      <c r="C24">
        <f>C23+calculation_sheet!G24-final_phase1_full_costs!AA22</f>
        <v>89339000</v>
      </c>
      <c r="D24" s="18">
        <f t="shared" si="0"/>
        <v>512141564.23131073</v>
      </c>
      <c r="E24" s="3">
        <f>operation_exp!C24+operation_exp!A24+Assumptions!$C$17</f>
        <v>491995.8</v>
      </c>
      <c r="F24" s="18">
        <f t="shared" si="1"/>
        <v>511649568.43131071</v>
      </c>
    </row>
    <row r="25" spans="1:6" x14ac:dyDescent="0.2">
      <c r="A25" s="1" t="s">
        <v>35</v>
      </c>
      <c r="B25" s="18">
        <f>Assumptions!$B$4+operation_exp!J25</f>
        <v>430757060.05101246</v>
      </c>
      <c r="C25">
        <f>C24+calculation_sheet!G25-final_phase1_full_costs!AA23</f>
        <v>83043000</v>
      </c>
      <c r="D25" s="18">
        <f t="shared" si="0"/>
        <v>513800060.05101246</v>
      </c>
      <c r="E25" s="3">
        <f>operation_exp!C25+operation_exp!A25+Assumptions!$C$17</f>
        <v>491995.8</v>
      </c>
      <c r="F25" s="18">
        <f t="shared" si="1"/>
        <v>513308064.25101244</v>
      </c>
    </row>
    <row r="26" spans="1:6" x14ac:dyDescent="0.2">
      <c r="A26" s="1" t="s">
        <v>24</v>
      </c>
      <c r="B26" s="18">
        <f>Assumptions!$B$4+operation_exp!J26</f>
        <v>452394286.41619986</v>
      </c>
      <c r="C26">
        <f>C25+calculation_sheet!G26-final_phase1_full_costs!AA24</f>
        <v>64416000</v>
      </c>
      <c r="D26" s="18">
        <f t="shared" si="0"/>
        <v>516810286.41619986</v>
      </c>
      <c r="E26" s="3">
        <f>operation_exp!C26+operation_exp!A26+Assumptions!$C$17</f>
        <v>491995.8</v>
      </c>
      <c r="F26" s="18">
        <f t="shared" si="1"/>
        <v>516318290.61619985</v>
      </c>
    </row>
    <row r="27" spans="1:6" x14ac:dyDescent="0.2">
      <c r="A27" s="1" t="s">
        <v>25</v>
      </c>
      <c r="B27" s="18">
        <f>Assumptions!$B$4+operation_exp!J27</f>
        <v>471045793.28895247</v>
      </c>
      <c r="C27">
        <f>C26+calculation_sheet!G27-final_phase1_full_costs!AA25</f>
        <v>48412000</v>
      </c>
      <c r="D27" s="18">
        <f t="shared" si="0"/>
        <v>519457793.28895247</v>
      </c>
      <c r="E27" s="3">
        <f>operation_exp!C27+operation_exp!A27+Assumptions!$C$17</f>
        <v>491995.8</v>
      </c>
      <c r="F27" s="18">
        <f t="shared" si="1"/>
        <v>518965797.48895246</v>
      </c>
    </row>
    <row r="28" spans="1:6" x14ac:dyDescent="0.2">
      <c r="A28" s="1" t="s">
        <v>26</v>
      </c>
      <c r="B28" s="18">
        <f>Assumptions!$B$4+operation_exp!J28</f>
        <v>487638531.5970546</v>
      </c>
      <c r="C28">
        <f>C27+calculation_sheet!G28-final_phase1_full_costs!AA26</f>
        <v>34010000</v>
      </c>
      <c r="D28" s="18">
        <f t="shared" si="0"/>
        <v>521648531.5970546</v>
      </c>
      <c r="E28" s="3">
        <f>operation_exp!C28+operation_exp!A28+Assumptions!$C$17</f>
        <v>491995.8</v>
      </c>
      <c r="F28" s="18">
        <f t="shared" si="1"/>
        <v>521156535.79705459</v>
      </c>
    </row>
    <row r="29" spans="1:6" x14ac:dyDescent="0.2">
      <c r="A29" s="1" t="s">
        <v>27</v>
      </c>
      <c r="B29" s="18">
        <f>Assumptions!$B$4+operation_exp!J29</f>
        <v>505111009.07018501</v>
      </c>
      <c r="C29">
        <f>C28+calculation_sheet!G29-final_phase1_full_costs!AA27</f>
        <v>18951000</v>
      </c>
      <c r="D29" s="18">
        <f t="shared" si="0"/>
        <v>524062009.07018501</v>
      </c>
      <c r="E29" s="3">
        <f>operation_exp!C29+operation_exp!A29+Assumptions!$C$17</f>
        <v>491995.8</v>
      </c>
      <c r="F29" s="18">
        <f t="shared" si="1"/>
        <v>523570013.27018499</v>
      </c>
    </row>
    <row r="30" spans="1:6" x14ac:dyDescent="0.2">
      <c r="A30" s="1" t="s">
        <v>28</v>
      </c>
      <c r="B30" s="18">
        <f>Assumptions!$B$4+operation_exp!J30</f>
        <v>514811893.50655717</v>
      </c>
      <c r="C30">
        <f>C29+calculation_sheet!G30-final_phase1_full_costs!AA28</f>
        <v>10340000</v>
      </c>
      <c r="D30" s="18">
        <f t="shared" si="0"/>
        <v>525151893.50655717</v>
      </c>
      <c r="E30" s="3">
        <f>operation_exp!C30+operation_exp!A30+Assumptions!$C$17</f>
        <v>491995.8</v>
      </c>
      <c r="F30" s="18">
        <f t="shared" si="1"/>
        <v>524659897.70655715</v>
      </c>
    </row>
    <row r="31" spans="1:6" x14ac:dyDescent="0.2">
      <c r="A31" s="1" t="s">
        <v>29</v>
      </c>
      <c r="B31" s="18">
        <f>Assumptions!$B$4+operation_exp!J31</f>
        <v>522395521.0501492</v>
      </c>
      <c r="C31">
        <f>C30+calculation_sheet!G31-final_phase1_full_costs!AA29</f>
        <v>3510000</v>
      </c>
      <c r="D31" s="18">
        <f t="shared" si="0"/>
        <v>525905521.0501492</v>
      </c>
      <c r="E31" s="3">
        <f>operation_exp!C31+operation_exp!A31+Assumptions!$C$17</f>
        <v>491995.8</v>
      </c>
      <c r="F31" s="18">
        <f t="shared" si="1"/>
        <v>525413525.25014919</v>
      </c>
    </row>
    <row r="32" spans="1:6" x14ac:dyDescent="0.2">
      <c r="A32" s="1" t="s">
        <v>30</v>
      </c>
      <c r="B32" s="18">
        <f>Assumptions!$B$4+operation_exp!J32</f>
        <v>524493210.97754478</v>
      </c>
      <c r="C32">
        <f>C31+calculation_sheet!G32-final_phase1_full_costs!AA30</f>
        <v>1260000</v>
      </c>
      <c r="D32" s="18">
        <f t="shared" si="0"/>
        <v>525753210.97754478</v>
      </c>
      <c r="E32" s="3">
        <f>operation_exp!C32+operation_exp!A32+Assumptions!$C$17</f>
        <v>491995.8</v>
      </c>
      <c r="F32" s="18">
        <f t="shared" si="1"/>
        <v>525261215.17754477</v>
      </c>
    </row>
    <row r="33" spans="1:6" x14ac:dyDescent="0.2">
      <c r="A33" s="1" t="s">
        <v>31</v>
      </c>
      <c r="B33" s="18">
        <f>Assumptions!$B$4+operation_exp!J33</f>
        <v>524634378.44681817</v>
      </c>
      <c r="C33">
        <f>C32+calculation_sheet!G33-final_phase1_full_costs!AA31</f>
        <v>630000</v>
      </c>
      <c r="D33" s="18">
        <f t="shared" si="0"/>
        <v>525264378.44681817</v>
      </c>
      <c r="E33" s="3">
        <f>operation_exp!C33+operation_exp!A33+Assumptions!$C$17</f>
        <v>491995.8</v>
      </c>
      <c r="F33" s="18">
        <f t="shared" si="1"/>
        <v>524772382.64681816</v>
      </c>
    </row>
    <row r="34" spans="1:6" x14ac:dyDescent="0.2">
      <c r="A34" s="1" t="s">
        <v>32</v>
      </c>
      <c r="B34" s="18">
        <f>Assumptions!$B$4+operation_exp!J34</f>
        <v>524776475.91609162</v>
      </c>
      <c r="C34">
        <f>C33+calculation_sheet!G34-final_phase1_full_costs!AA32</f>
        <v>0</v>
      </c>
      <c r="D34" s="18">
        <f t="shared" si="0"/>
        <v>524776475.91609162</v>
      </c>
      <c r="E34" s="3">
        <v>0</v>
      </c>
      <c r="F34" s="18">
        <f t="shared" si="1"/>
        <v>524776475.91609162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topLeftCell="A17" zoomScale="133" workbookViewId="0">
      <selection activeCell="F37" sqref="F37"/>
    </sheetView>
  </sheetViews>
  <sheetFormatPr baseColWidth="10" defaultColWidth="8.83203125" defaultRowHeight="15" x14ac:dyDescent="0.2"/>
  <cols>
    <col min="1" max="1" width="27.33203125" customWidth="1"/>
    <col min="2" max="2" width="26.5" customWidth="1"/>
    <col min="3" max="3" width="25.83203125" customWidth="1"/>
    <col min="4" max="4" width="21.33203125" customWidth="1"/>
    <col min="5" max="5" width="17.6640625" customWidth="1"/>
    <col min="6" max="6" width="26.33203125" customWidth="1"/>
  </cols>
  <sheetData>
    <row r="1" spans="1:6" x14ac:dyDescent="0.2">
      <c r="A1" s="1" t="s">
        <v>37</v>
      </c>
      <c r="B1" s="7" t="s">
        <v>225</v>
      </c>
      <c r="C1" s="7" t="s">
        <v>226</v>
      </c>
      <c r="D1" s="7" t="s">
        <v>227</v>
      </c>
      <c r="E1" s="7" t="s">
        <v>36</v>
      </c>
      <c r="F1" s="7" t="s">
        <v>228</v>
      </c>
    </row>
    <row r="2" spans="1:6" x14ac:dyDescent="0.2">
      <c r="A2" s="1" t="s">
        <v>24</v>
      </c>
      <c r="B2" s="3">
        <f>calculation_sheet!M2+operation_exp!E2+calculation_sheet!L2</f>
        <v>170120</v>
      </c>
      <c r="C2" s="3">
        <f>calculation_sheet!G2+calculation_sheet!H2+calculation_sheet!I2+calculation_sheet!J2</f>
        <v>4569168.833333333</v>
      </c>
      <c r="D2" s="3">
        <f>B2-C2</f>
        <v>-4399048.833333333</v>
      </c>
      <c r="E2" s="3">
        <f>operation_exp!H2+operation_exp!E2+Assumptions!B110</f>
        <v>189876</v>
      </c>
      <c r="F2" s="3">
        <f>D2-E2</f>
        <v>-4588924.833333333</v>
      </c>
    </row>
    <row r="3" spans="1:6" x14ac:dyDescent="0.2">
      <c r="A3" s="1" t="s">
        <v>25</v>
      </c>
      <c r="B3" s="3">
        <f>calculation_sheet!M3+operation_exp!E3+calculation_sheet!L3</f>
        <v>264340</v>
      </c>
      <c r="C3" s="3">
        <f>calculation_sheet!G3+calculation_sheet!H3+calculation_sheet!I3+calculation_sheet!J3+calculation_sheet!K3</f>
        <v>7089903.166666667</v>
      </c>
      <c r="D3" s="3">
        <f t="shared" ref="D3:D34" si="0">B3-C3</f>
        <v>-6825563.166666667</v>
      </c>
      <c r="E3" s="3">
        <f>operation_exp!H3+operation_exp!E3</f>
        <v>341873</v>
      </c>
      <c r="F3" s="3">
        <f t="shared" ref="F3:F34" si="1">D3-E3</f>
        <v>-7167436.166666667</v>
      </c>
    </row>
    <row r="4" spans="1:6" x14ac:dyDescent="0.2">
      <c r="A4" s="1" t="s">
        <v>26</v>
      </c>
      <c r="B4" s="3">
        <f>calculation_sheet!M4+operation_exp!E4+calculation_sheet!L4</f>
        <v>354420</v>
      </c>
      <c r="C4" s="3">
        <f>calculation_sheet!G4+calculation_sheet!H4+calculation_sheet!I4+calculation_sheet!J4+calculation_sheet!K4</f>
        <v>9509700.5</v>
      </c>
      <c r="D4" s="3">
        <f t="shared" si="0"/>
        <v>-9155280.5</v>
      </c>
      <c r="E4" s="3">
        <f>operation_exp!H4+operation_exp!E4</f>
        <v>341873</v>
      </c>
      <c r="F4" s="3">
        <f t="shared" si="1"/>
        <v>-9497153.5</v>
      </c>
    </row>
    <row r="5" spans="1:6" x14ac:dyDescent="0.2">
      <c r="A5" s="1" t="s">
        <v>27</v>
      </c>
      <c r="B5" s="3">
        <f>calculation_sheet!M5+operation_exp!E5+calculation_sheet!L5</f>
        <v>444700</v>
      </c>
      <c r="C5" s="3">
        <f>calculation_sheet!G5+calculation_sheet!H5+calculation_sheet!I5+calculation_sheet!J5+calculation_sheet!K5</f>
        <v>11934150.833333334</v>
      </c>
      <c r="D5" s="3">
        <f t="shared" si="0"/>
        <v>-11489450.833333334</v>
      </c>
      <c r="E5" s="3">
        <f>operation_exp!H5+operation_exp!E5</f>
        <v>356873</v>
      </c>
      <c r="F5" s="3">
        <f t="shared" si="1"/>
        <v>-11846323.833333334</v>
      </c>
    </row>
    <row r="6" spans="1:6" x14ac:dyDescent="0.2">
      <c r="A6" s="1" t="s">
        <v>28</v>
      </c>
      <c r="B6" s="3">
        <f>calculation_sheet!M6+operation_exp!E6+calculation_sheet!L6</f>
        <v>1444317.9872617365</v>
      </c>
      <c r="C6" s="3">
        <f>calculation_sheet!G6+calculation_sheet!H6+calculation_sheet!I6+calculation_sheet!J6+calculation_sheet!K6</f>
        <v>16638603.72423649</v>
      </c>
      <c r="D6" s="3">
        <f t="shared" si="0"/>
        <v>-15194285.736974753</v>
      </c>
      <c r="E6" s="3">
        <f>operation_exp!H6+operation_exp!E6</f>
        <v>356873</v>
      </c>
      <c r="F6" s="3">
        <f t="shared" si="1"/>
        <v>-15551158.736974753</v>
      </c>
    </row>
    <row r="7" spans="1:6" x14ac:dyDescent="0.2">
      <c r="A7" s="1" t="s">
        <v>29</v>
      </c>
      <c r="B7" s="3">
        <f>calculation_sheet!M7+operation_exp!E7+calculation_sheet!L7</f>
        <v>5694907.1110043935</v>
      </c>
      <c r="C7" s="3">
        <f>calculation_sheet!G7+calculation_sheet!H7+calculation_sheet!I7+calculation_sheet!J7+calculation_sheet!K7</f>
        <v>19107982.914528888</v>
      </c>
      <c r="D7" s="3">
        <f t="shared" si="0"/>
        <v>-13413075.803524494</v>
      </c>
      <c r="E7" s="3">
        <f>operation_exp!H7+operation_exp!E7</f>
        <v>356873</v>
      </c>
      <c r="F7" s="3">
        <f t="shared" si="1"/>
        <v>-13769948.803524494</v>
      </c>
    </row>
    <row r="8" spans="1:6" x14ac:dyDescent="0.2">
      <c r="A8" s="1" t="s">
        <v>30</v>
      </c>
      <c r="B8" s="3">
        <f>calculation_sheet!M8+operation_exp!E8+calculation_sheet!L8</f>
        <v>8466790.0418049898</v>
      </c>
      <c r="C8" s="3">
        <f>calculation_sheet!G8+calculation_sheet!H8+calculation_sheet!I8+calculation_sheet!J8+calculation_sheet!K8</f>
        <v>19157739.42988915</v>
      </c>
      <c r="D8" s="3">
        <f t="shared" si="0"/>
        <v>-10690949.38808416</v>
      </c>
      <c r="E8" s="3">
        <f>operation_exp!H8+operation_exp!E8</f>
        <v>356873</v>
      </c>
      <c r="F8" s="3">
        <f t="shared" si="1"/>
        <v>-11047822.38808416</v>
      </c>
    </row>
    <row r="9" spans="1:6" x14ac:dyDescent="0.2">
      <c r="A9" s="1" t="s">
        <v>31</v>
      </c>
      <c r="B9" s="3">
        <f>calculation_sheet!M9+operation_exp!E9+calculation_sheet!L9</f>
        <v>14874974.341288241</v>
      </c>
      <c r="C9" s="3">
        <f>calculation_sheet!G9+calculation_sheet!H9+calculation_sheet!I9+calculation_sheet!J9+calculation_sheet!K9</f>
        <v>16825974.112255976</v>
      </c>
      <c r="D9" s="3">
        <f t="shared" si="0"/>
        <v>-1950999.770967735</v>
      </c>
      <c r="E9" s="3">
        <f>operation_exp!H9+operation_exp!E9</f>
        <v>371873</v>
      </c>
      <c r="F9" s="3">
        <f t="shared" si="1"/>
        <v>-2322872.770967735</v>
      </c>
    </row>
    <row r="10" spans="1:6" x14ac:dyDescent="0.2">
      <c r="A10" s="1" t="s">
        <v>32</v>
      </c>
      <c r="B10" s="3">
        <f>calculation_sheet!M10+operation_exp!E10+calculation_sheet!L10</f>
        <v>13978822.850987151</v>
      </c>
      <c r="C10" s="3">
        <f>calculation_sheet!G10+calculation_sheet!H10+calculation_sheet!I10+calculation_sheet!J10+calculation_sheet!K10</f>
        <v>14314862.527413338</v>
      </c>
      <c r="D10" s="3">
        <f t="shared" si="0"/>
        <v>-336039.67642618716</v>
      </c>
      <c r="E10" s="3">
        <f>operation_exp!H10+operation_exp!E10</f>
        <v>371873</v>
      </c>
      <c r="F10" s="3">
        <f t="shared" si="1"/>
        <v>-707912.67642618716</v>
      </c>
    </row>
    <row r="11" spans="1:6" x14ac:dyDescent="0.2">
      <c r="A11" s="1" t="s">
        <v>33</v>
      </c>
      <c r="B11" s="3">
        <f>calculation_sheet!M11+operation_exp!E11+calculation_sheet!L11</f>
        <v>15297340.926113768</v>
      </c>
      <c r="C11" s="3">
        <f>calculation_sheet!G11+calculation_sheet!H11+calculation_sheet!I11+calculation_sheet!J11+calculation_sheet!K11</f>
        <v>12166406.91916135</v>
      </c>
      <c r="D11" s="3">
        <f t="shared" si="0"/>
        <v>3130934.006952418</v>
      </c>
      <c r="E11" s="3">
        <f>operation_exp!H11+operation_exp!E11</f>
        <v>371873</v>
      </c>
      <c r="F11" s="3">
        <f t="shared" si="1"/>
        <v>2759061.006952418</v>
      </c>
    </row>
    <row r="12" spans="1:6" x14ac:dyDescent="0.2">
      <c r="A12" s="1" t="s">
        <v>34</v>
      </c>
      <c r="B12" s="3">
        <f>calculation_sheet!M12+operation_exp!E12+calculation_sheet!L12</f>
        <v>24933578.16738588</v>
      </c>
      <c r="C12" s="3">
        <f>calculation_sheet!G12+calculation_sheet!H12+calculation_sheet!I12+calculation_sheet!J12+calculation_sheet!K12</f>
        <v>7428388.366994095</v>
      </c>
      <c r="D12" s="3">
        <f t="shared" si="0"/>
        <v>17505189.800391786</v>
      </c>
      <c r="E12" s="3">
        <f>operation_exp!H12+operation_exp!E12</f>
        <v>371873</v>
      </c>
      <c r="F12" s="3">
        <f t="shared" si="1"/>
        <v>17133316.800391786</v>
      </c>
    </row>
    <row r="13" spans="1:6" x14ac:dyDescent="0.2">
      <c r="A13" s="1" t="s">
        <v>35</v>
      </c>
      <c r="B13" s="3">
        <f>calculation_sheet!M13+operation_exp!E13+calculation_sheet!L13</f>
        <v>14106547.618269697</v>
      </c>
      <c r="C13" s="3">
        <f>calculation_sheet!G13+calculation_sheet!H13+calculation_sheet!I13+calculation_sheet!J13+calculation_sheet!K13</f>
        <v>4802778.9706884902</v>
      </c>
      <c r="D13" s="3">
        <f t="shared" si="0"/>
        <v>9303768.6475812066</v>
      </c>
      <c r="E13" s="3">
        <f>operation_exp!H13+operation_exp!E13</f>
        <v>382873</v>
      </c>
      <c r="F13" s="3">
        <f t="shared" si="1"/>
        <v>8920895.6475812066</v>
      </c>
    </row>
    <row r="14" spans="1:6" x14ac:dyDescent="0.2">
      <c r="A14" s="1" t="s">
        <v>24</v>
      </c>
      <c r="B14" s="3">
        <f>calculation_sheet!M14+operation_exp!E14+calculation_sheet!L14</f>
        <v>16639408.734671792</v>
      </c>
      <c r="C14" s="3">
        <f>calculation_sheet!G14+calculation_sheet!H14+calculation_sheet!I14+calculation_sheet!J14+calculation_sheet!K14</f>
        <v>3598273.550740256</v>
      </c>
      <c r="D14" s="3">
        <f t="shared" si="0"/>
        <v>13041135.183931537</v>
      </c>
      <c r="E14" s="3">
        <f>operation_exp!H14+operation_exp!E14</f>
        <v>514873</v>
      </c>
      <c r="F14" s="3">
        <f t="shared" si="1"/>
        <v>12526262.183931537</v>
      </c>
    </row>
    <row r="15" spans="1:6" x14ac:dyDescent="0.2">
      <c r="A15" s="1" t="s">
        <v>25</v>
      </c>
      <c r="B15" s="3">
        <f>calculation_sheet!M15+operation_exp!E15+calculation_sheet!L15</f>
        <v>12519927.658276359</v>
      </c>
      <c r="C15" s="3">
        <f>calculation_sheet!G15+calculation_sheet!H15+calculation_sheet!I15+calculation_sheet!J15+calculation_sheet!K15</f>
        <v>4758341.00901464</v>
      </c>
      <c r="D15" s="3">
        <f t="shared" si="0"/>
        <v>7761586.6492617186</v>
      </c>
      <c r="E15" s="3">
        <f>operation_exp!H15+operation_exp!E15</f>
        <v>522298</v>
      </c>
      <c r="F15" s="3">
        <f t="shared" si="1"/>
        <v>7239288.6492617186</v>
      </c>
    </row>
    <row r="16" spans="1:6" x14ac:dyDescent="0.2">
      <c r="A16" s="1" t="s">
        <v>26</v>
      </c>
      <c r="B16" s="3">
        <f>calculation_sheet!M16+operation_exp!E16+calculation_sheet!L16</f>
        <v>16497875.843026437</v>
      </c>
      <c r="C16" s="3">
        <f>calculation_sheet!G16+calculation_sheet!H16+calculation_sheet!I16+calculation_sheet!J16+calculation_sheet!K16</f>
        <v>6340463.4372184789</v>
      </c>
      <c r="D16" s="3">
        <f t="shared" si="0"/>
        <v>10157412.405807957</v>
      </c>
      <c r="E16" s="3">
        <f>operation_exp!H16+operation_exp!E16+Assumptions!B121</f>
        <v>568774</v>
      </c>
      <c r="F16" s="3">
        <f t="shared" si="1"/>
        <v>9588638.4058079571</v>
      </c>
    </row>
    <row r="17" spans="1:6" x14ac:dyDescent="0.2">
      <c r="A17" s="1" t="s">
        <v>27</v>
      </c>
      <c r="B17" s="3">
        <f>calculation_sheet!M17+operation_exp!E17+calculation_sheet!L17</f>
        <v>8749103.8168900758</v>
      </c>
      <c r="C17" s="3">
        <f>calculation_sheet!G17+calculation_sheet!H17+calculation_sheet!I17+calculation_sheet!J17+calculation_sheet!K17</f>
        <v>13220353.224497747</v>
      </c>
      <c r="D17" s="3">
        <f t="shared" si="0"/>
        <v>-4471249.4076076709</v>
      </c>
      <c r="E17" s="3">
        <f>operation_exp!H17+operation_exp!E17</f>
        <v>606772.80000000005</v>
      </c>
      <c r="F17" s="3">
        <f t="shared" si="1"/>
        <v>-5078022.2076076707</v>
      </c>
    </row>
    <row r="18" spans="1:6" x14ac:dyDescent="0.2">
      <c r="A18" s="1" t="s">
        <v>28</v>
      </c>
      <c r="B18" s="3">
        <f>calculation_sheet!M18+operation_exp!E18+calculation_sheet!L18</f>
        <v>7987128.937566407</v>
      </c>
      <c r="C18" s="3">
        <f>calculation_sheet!G18+calculation_sheet!H18+calculation_sheet!I18+calculation_sheet!J18+calculation_sheet!K18</f>
        <v>15863712.214000627</v>
      </c>
      <c r="D18" s="3">
        <f t="shared" si="0"/>
        <v>-7876583.2764342204</v>
      </c>
      <c r="E18" s="3">
        <f>operation_exp!H18+operation_exp!E18</f>
        <v>606772.80000000005</v>
      </c>
      <c r="F18" s="3">
        <f t="shared" si="1"/>
        <v>-8483356.0764342211</v>
      </c>
    </row>
    <row r="19" spans="1:6" x14ac:dyDescent="0.2">
      <c r="A19" s="1" t="s">
        <v>29</v>
      </c>
      <c r="B19" s="3">
        <f>calculation_sheet!M19+operation_exp!E19+calculation_sheet!L19</f>
        <v>6795864.8858340215</v>
      </c>
      <c r="C19" s="3">
        <f>calculation_sheet!G19+calculation_sheet!H19+calculation_sheet!I19+calculation_sheet!J19+calculation_sheet!K19</f>
        <v>22929633.489043958</v>
      </c>
      <c r="D19" s="3">
        <f t="shared" si="0"/>
        <v>-16133768.603209937</v>
      </c>
      <c r="E19" s="3">
        <f>operation_exp!H19+operation_exp!E19</f>
        <v>606772.80000000005</v>
      </c>
      <c r="F19" s="3">
        <f t="shared" si="1"/>
        <v>-16740541.403209938</v>
      </c>
    </row>
    <row r="20" spans="1:6" x14ac:dyDescent="0.2">
      <c r="A20" s="1" t="s">
        <v>30</v>
      </c>
      <c r="B20" s="3">
        <f>calculation_sheet!M20+operation_exp!E20+calculation_sheet!L20</f>
        <v>6994921.8681471571</v>
      </c>
      <c r="C20" s="3">
        <f>calculation_sheet!G20+calculation_sheet!H20+calculation_sheet!I20+calculation_sheet!J20+calculation_sheet!K20</f>
        <v>24415750.625564948</v>
      </c>
      <c r="D20" s="3">
        <f t="shared" si="0"/>
        <v>-17420828.757417791</v>
      </c>
      <c r="E20" s="3">
        <f>operation_exp!H20+operation_exp!E20</f>
        <v>606772.80000000005</v>
      </c>
      <c r="F20" s="3">
        <f t="shared" si="1"/>
        <v>-18027601.557417791</v>
      </c>
    </row>
    <row r="21" spans="1:6" x14ac:dyDescent="0.2">
      <c r="A21" s="1" t="s">
        <v>31</v>
      </c>
      <c r="B21" s="3">
        <f>calculation_sheet!M21+operation_exp!E21+calculation_sheet!L21</f>
        <v>6403262.6753004938</v>
      </c>
      <c r="C21" s="3">
        <f>calculation_sheet!G21+calculation_sheet!H21+calculation_sheet!I21+calculation_sheet!J21+calculation_sheet!K21</f>
        <v>23522829.995657559</v>
      </c>
      <c r="D21" s="3">
        <f t="shared" si="0"/>
        <v>-17119567.320357066</v>
      </c>
      <c r="E21" s="3">
        <f>operation_exp!H21+operation_exp!E21</f>
        <v>606772.80000000005</v>
      </c>
      <c r="F21" s="3">
        <f t="shared" si="1"/>
        <v>-17726340.120357066</v>
      </c>
    </row>
    <row r="22" spans="1:6" x14ac:dyDescent="0.2">
      <c r="A22" s="1" t="s">
        <v>32</v>
      </c>
      <c r="B22" s="3">
        <f>calculation_sheet!M22+operation_exp!E22+calculation_sheet!L22</f>
        <v>12405880.731841357</v>
      </c>
      <c r="C22" s="3">
        <f>calculation_sheet!G22+calculation_sheet!H22+calculation_sheet!I22+calculation_sheet!J22+calculation_sheet!K22</f>
        <v>22280086.598550037</v>
      </c>
      <c r="D22" s="3">
        <f t="shared" si="0"/>
        <v>-9874205.8667086791</v>
      </c>
      <c r="E22" s="3">
        <f>operation_exp!H22+operation_exp!E22</f>
        <v>606772.80000000005</v>
      </c>
      <c r="F22" s="3">
        <f t="shared" si="1"/>
        <v>-10480978.66670868</v>
      </c>
    </row>
    <row r="23" spans="1:6" x14ac:dyDescent="0.2">
      <c r="A23" s="1" t="s">
        <v>33</v>
      </c>
      <c r="B23" s="3">
        <f>calculation_sheet!M23+operation_exp!E23+calculation_sheet!L23</f>
        <v>17317270.56469937</v>
      </c>
      <c r="C23" s="3">
        <f>calculation_sheet!G23+calculation_sheet!H23+calculation_sheet!I23+calculation_sheet!J23+calculation_sheet!K23</f>
        <v>15379764.049224934</v>
      </c>
      <c r="D23" s="3">
        <f t="shared" si="0"/>
        <v>1937506.5154744368</v>
      </c>
      <c r="E23" s="3">
        <f>operation_exp!H23+operation_exp!E23</f>
        <v>606772.80000000005</v>
      </c>
      <c r="F23" s="3">
        <f t="shared" si="1"/>
        <v>1330733.7154744368</v>
      </c>
    </row>
    <row r="24" spans="1:6" x14ac:dyDescent="0.2">
      <c r="A24" s="1" t="s">
        <v>34</v>
      </c>
      <c r="B24" s="3">
        <f>calculation_sheet!M24+operation_exp!E24+calculation_sheet!L24</f>
        <v>28073284.099221606</v>
      </c>
      <c r="C24" s="3">
        <f>calculation_sheet!G24+calculation_sheet!H24+calculation_sheet!I24+calculation_sheet!J24+calculation_sheet!K24</f>
        <v>11125749.736265915</v>
      </c>
      <c r="D24" s="3">
        <f t="shared" si="0"/>
        <v>16947534.362955689</v>
      </c>
      <c r="E24" s="3">
        <f>operation_exp!H24+operation_exp!E24</f>
        <v>606772.80000000005</v>
      </c>
      <c r="F24" s="3">
        <f t="shared" si="1"/>
        <v>16340761.562955689</v>
      </c>
    </row>
    <row r="25" spans="1:6" x14ac:dyDescent="0.2">
      <c r="A25" s="1" t="s">
        <v>35</v>
      </c>
      <c r="B25" s="3">
        <f>calculation_sheet!M25+operation_exp!E25+calculation_sheet!L25</f>
        <v>17136455.588706095</v>
      </c>
      <c r="C25" s="3">
        <f>calculation_sheet!G25+calculation_sheet!H25+calculation_sheet!I25+calculation_sheet!J25+calculation_sheet!K25</f>
        <v>8575186.9690043759</v>
      </c>
      <c r="D25" s="3">
        <f t="shared" si="0"/>
        <v>8561268.6197017189</v>
      </c>
      <c r="E25" s="3">
        <f>operation_exp!H25+operation_exp!E25</f>
        <v>606772.80000000005</v>
      </c>
      <c r="F25" s="3">
        <f t="shared" si="1"/>
        <v>7954495.8197017191</v>
      </c>
    </row>
    <row r="26" spans="1:6" x14ac:dyDescent="0.2">
      <c r="A26" s="1" t="s">
        <v>24</v>
      </c>
      <c r="B26" s="3">
        <f>calculation_sheet!M26+operation_exp!E26+calculation_sheet!L26</f>
        <v>22594460.427077848</v>
      </c>
      <c r="C26" s="3">
        <f>calculation_sheet!G26+calculation_sheet!H26+calculation_sheet!I26+calculation_sheet!J26+calculation_sheet!K26</f>
        <v>330461.26189043501</v>
      </c>
      <c r="D26" s="3">
        <f t="shared" si="0"/>
        <v>22263999.165187415</v>
      </c>
      <c r="E26" s="3">
        <f>operation_exp!H26+operation_exp!E26</f>
        <v>626772.80000000005</v>
      </c>
      <c r="F26" s="3">
        <f t="shared" si="1"/>
        <v>21637226.365187414</v>
      </c>
    </row>
    <row r="27" spans="1:6" x14ac:dyDescent="0.2">
      <c r="A27" s="1" t="s">
        <v>25</v>
      </c>
      <c r="B27" s="3">
        <f>calculation_sheet!M27+operation_exp!E27+calculation_sheet!L27</f>
        <v>19550569.776120707</v>
      </c>
      <c r="C27" s="3">
        <f>calculation_sheet!G27+calculation_sheet!H27+calculation_sheet!I27+calculation_sheet!J27+calculation_sheet!K27</f>
        <v>272290.10336806427</v>
      </c>
      <c r="D27" s="3">
        <f t="shared" si="0"/>
        <v>19278279.672752645</v>
      </c>
      <c r="E27" s="3">
        <f>operation_exp!H27+operation_exp!E27</f>
        <v>626772.80000000005</v>
      </c>
      <c r="F27" s="3">
        <f>D27-E27</f>
        <v>18651506.872752644</v>
      </c>
    </row>
    <row r="28" spans="1:6" x14ac:dyDescent="0.2">
      <c r="A28" s="1" t="s">
        <v>26</v>
      </c>
      <c r="B28" s="3">
        <f>calculation_sheet!M28+operation_exp!E28+calculation_sheet!L28</f>
        <v>17445394.012296814</v>
      </c>
      <c r="C28" s="3">
        <f>calculation_sheet!G28+calculation_sheet!H28+calculation_sheet!I28+calculation_sheet!J28+calculation_sheet!K28</f>
        <v>225882.9041946936</v>
      </c>
      <c r="D28" s="3">
        <f t="shared" si="0"/>
        <v>17219511.10810212</v>
      </c>
      <c r="E28" s="3">
        <f>operation_exp!H28+operation_exp!E28</f>
        <v>626772.80000000005</v>
      </c>
      <c r="F28" s="3">
        <f t="shared" si="1"/>
        <v>16592738.30810212</v>
      </c>
    </row>
    <row r="29" spans="1:6" x14ac:dyDescent="0.2">
      <c r="A29" s="1" t="s">
        <v>27</v>
      </c>
      <c r="B29" s="3">
        <f>calculation_sheet!M29+operation_exp!E29+calculation_sheet!L29</f>
        <v>18306219.83267644</v>
      </c>
      <c r="C29" s="3">
        <f>calculation_sheet!G29+calculation_sheet!H29+calculation_sheet!I29+calculation_sheet!J29+calculation_sheet!K29</f>
        <v>206969.5595460569</v>
      </c>
      <c r="D29" s="3">
        <f t="shared" si="0"/>
        <v>18099250.273130383</v>
      </c>
      <c r="E29" s="3">
        <f>operation_exp!H29+operation_exp!E29</f>
        <v>626772.80000000005</v>
      </c>
      <c r="F29" s="3">
        <f t="shared" si="1"/>
        <v>17472477.473130383</v>
      </c>
    </row>
    <row r="30" spans="1:6" x14ac:dyDescent="0.2">
      <c r="A30" s="1" t="s">
        <v>28</v>
      </c>
      <c r="B30" s="3">
        <f>calculation_sheet!M30+operation_exp!E30+calculation_sheet!L30</f>
        <v>10444366.501373325</v>
      </c>
      <c r="C30" s="3">
        <f>calculation_sheet!G30+calculation_sheet!H30+calculation_sheet!I30+calculation_sheet!J30+calculation_sheet!K30</f>
        <v>116709.26500118291</v>
      </c>
      <c r="D30" s="3">
        <f t="shared" si="0"/>
        <v>10327657.236372141</v>
      </c>
      <c r="E30" s="3">
        <f>operation_exp!H30+operation_exp!E30</f>
        <v>626772.80000000005</v>
      </c>
      <c r="F30" s="3">
        <f t="shared" si="1"/>
        <v>9700884.4363721404</v>
      </c>
    </row>
    <row r="31" spans="1:6" x14ac:dyDescent="0.2">
      <c r="A31" s="1" t="s">
        <v>29</v>
      </c>
      <c r="B31" s="3">
        <f>calculation_sheet!M31+operation_exp!E31+calculation_sheet!L31</f>
        <v>8295078.7730699386</v>
      </c>
      <c r="C31" s="3">
        <f>calculation_sheet!G31+calculation_sheet!H31+calculation_sheet!I31+calculation_sheet!J31+calculation_sheet!K31</f>
        <v>84678.429477889105</v>
      </c>
      <c r="D31" s="3">
        <f t="shared" si="0"/>
        <v>8210400.3435920496</v>
      </c>
      <c r="E31" s="3">
        <f>operation_exp!H31+operation_exp!E31</f>
        <v>626772.80000000005</v>
      </c>
      <c r="F31" s="3">
        <f t="shared" si="1"/>
        <v>7583627.5435920497</v>
      </c>
    </row>
    <row r="32" spans="1:6" x14ac:dyDescent="0.2">
      <c r="A32" s="1" t="s">
        <v>30</v>
      </c>
      <c r="B32" s="3">
        <f>calculation_sheet!M32+operation_exp!E32+calculation_sheet!L32</f>
        <v>2752525.1751185386</v>
      </c>
      <c r="C32" s="3">
        <f>calculation_sheet!G32+calculation_sheet!H32+calculation_sheet!I32+calculation_sheet!J32+calculation_sheet!K32</f>
        <v>28062.447722959601</v>
      </c>
      <c r="D32" s="3">
        <f t="shared" si="0"/>
        <v>2724462.7273955788</v>
      </c>
      <c r="E32" s="3">
        <f>operation_exp!H32+operation_exp!E32</f>
        <v>626772.80000000005</v>
      </c>
      <c r="F32" s="3">
        <f t="shared" si="1"/>
        <v>2097689.9273955785</v>
      </c>
    </row>
    <row r="33" spans="1:6" x14ac:dyDescent="0.2">
      <c r="A33" s="1" t="s">
        <v>31</v>
      </c>
      <c r="B33" s="3">
        <f>calculation_sheet!M33+operation_exp!E33+calculation_sheet!L33</f>
        <v>776114.33967801544</v>
      </c>
      <c r="C33" s="3">
        <f>calculation_sheet!G33+calculation_sheet!H33+calculation_sheet!I33+calculation_sheet!J33+calculation_sheet!K33</f>
        <v>8174.0704045852799</v>
      </c>
      <c r="D33" s="3">
        <f t="shared" si="0"/>
        <v>767940.26927343011</v>
      </c>
      <c r="E33" s="3">
        <f>operation_exp!H33+operation_exp!E33</f>
        <v>626772.80000000005</v>
      </c>
      <c r="F33" s="3">
        <f t="shared" si="1"/>
        <v>141167.46927343006</v>
      </c>
    </row>
    <row r="34" spans="1:6" x14ac:dyDescent="0.2">
      <c r="A34" s="1" t="s">
        <v>32</v>
      </c>
      <c r="B34" s="3">
        <f>calculation_sheet!M34+operation_exp!E34+calculation_sheet!L34</f>
        <v>776114.33967801544</v>
      </c>
      <c r="C34" s="3">
        <f>calculation_sheet!G34+calculation_sheet!H34+calculation_sheet!I34+calculation_sheet!J34+calculation_sheet!K34</f>
        <v>7244.0704045852799</v>
      </c>
      <c r="D34" s="3">
        <f t="shared" si="0"/>
        <v>768870.26927343011</v>
      </c>
      <c r="E34" s="3">
        <f>operation_exp!H34+operation_exp!E34</f>
        <v>626772.80000000005</v>
      </c>
      <c r="F34" s="3">
        <f t="shared" si="1"/>
        <v>142097.46927343006</v>
      </c>
    </row>
    <row r="35" spans="1:6" x14ac:dyDescent="0.2">
      <c r="B35" s="3"/>
      <c r="C35" s="3"/>
      <c r="D35" s="3"/>
      <c r="E35" s="3"/>
      <c r="F35" s="3"/>
    </row>
    <row r="36" spans="1:6" x14ac:dyDescent="0.2">
      <c r="B36" s="3"/>
      <c r="C36" s="3"/>
      <c r="D36" s="3"/>
      <c r="E36" s="3"/>
      <c r="F36" s="3">
        <f>SUM(F2:F34)</f>
        <v>24776475.916091628</v>
      </c>
    </row>
    <row r="37" spans="1:6" x14ac:dyDescent="0.2">
      <c r="B37" s="3"/>
      <c r="C37" s="3"/>
      <c r="D37" s="3"/>
      <c r="E37" s="3"/>
      <c r="F3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1441-6C76-8E40-929B-6EA3175D1FBE}">
  <dimension ref="A1:F36"/>
  <sheetViews>
    <sheetView tabSelected="1" topLeftCell="A15" zoomScale="167" workbookViewId="0">
      <selection activeCell="E39" sqref="E39"/>
    </sheetView>
  </sheetViews>
  <sheetFormatPr baseColWidth="10" defaultRowHeight="15" x14ac:dyDescent="0.2"/>
  <cols>
    <col min="1" max="1" width="14.5" customWidth="1"/>
    <col min="2" max="2" width="36.33203125" customWidth="1"/>
    <col min="3" max="3" width="32" bestFit="1" customWidth="1"/>
    <col min="4" max="4" width="15.6640625" bestFit="1" customWidth="1"/>
    <col min="5" max="5" width="19.1640625" customWidth="1"/>
    <col min="6" max="6" width="21.83203125" customWidth="1"/>
  </cols>
  <sheetData>
    <row r="1" spans="1:6" x14ac:dyDescent="0.2">
      <c r="A1" s="1" t="s">
        <v>37</v>
      </c>
      <c r="B1" s="7" t="s">
        <v>229</v>
      </c>
      <c r="C1" s="7" t="s">
        <v>230</v>
      </c>
      <c r="D1" s="7" t="s">
        <v>231</v>
      </c>
      <c r="E1" s="7" t="s">
        <v>232</v>
      </c>
      <c r="F1" s="7" t="s">
        <v>233</v>
      </c>
    </row>
    <row r="2" spans="1:6" x14ac:dyDescent="0.2">
      <c r="A2" s="1" t="s">
        <v>24</v>
      </c>
      <c r="B2" s="18">
        <f>operation_exp!I2</f>
        <v>-4438924.833333333</v>
      </c>
      <c r="C2">
        <v>-150000</v>
      </c>
      <c r="D2" s="18">
        <f>B2+C2</f>
        <v>-4588924.833333333</v>
      </c>
      <c r="E2" s="22">
        <v>500000000</v>
      </c>
      <c r="F2" s="18">
        <f>E2+D2</f>
        <v>495411075.16666669</v>
      </c>
    </row>
    <row r="3" spans="1:6" x14ac:dyDescent="0.2">
      <c r="A3" s="1" t="s">
        <v>25</v>
      </c>
      <c r="B3" s="18">
        <f>operation_exp!I3</f>
        <v>-7167436.166666667</v>
      </c>
      <c r="D3" s="18">
        <f t="shared" ref="D3:D34" si="0">B3+C3</f>
        <v>-7167436.166666667</v>
      </c>
      <c r="E3" s="18">
        <f>F2</f>
        <v>495411075.16666669</v>
      </c>
      <c r="F3" s="18">
        <f>E3+D3</f>
        <v>488243639</v>
      </c>
    </row>
    <row r="4" spans="1:6" x14ac:dyDescent="0.2">
      <c r="A4" s="1" t="s">
        <v>26</v>
      </c>
      <c r="B4" s="18">
        <f>operation_exp!I4</f>
        <v>-9497153.5</v>
      </c>
      <c r="D4" s="18">
        <f t="shared" si="0"/>
        <v>-9497153.5</v>
      </c>
      <c r="E4" s="18">
        <f t="shared" ref="E4:E34" si="1">F3</f>
        <v>488243639</v>
      </c>
      <c r="F4" s="18">
        <f>E4+D4</f>
        <v>478746485.5</v>
      </c>
    </row>
    <row r="5" spans="1:6" x14ac:dyDescent="0.2">
      <c r="A5" s="1" t="s">
        <v>27</v>
      </c>
      <c r="B5" s="18">
        <f>operation_exp!I5</f>
        <v>-11846323.833333334</v>
      </c>
      <c r="D5" s="18">
        <f t="shared" si="0"/>
        <v>-11846323.833333334</v>
      </c>
      <c r="E5" s="18">
        <f t="shared" si="1"/>
        <v>478746485.5</v>
      </c>
      <c r="F5" s="18">
        <f t="shared" ref="F5:F34" si="2">E5+D5</f>
        <v>466900161.66666669</v>
      </c>
    </row>
    <row r="6" spans="1:6" x14ac:dyDescent="0.2">
      <c r="A6" s="1" t="s">
        <v>28</v>
      </c>
      <c r="B6" s="18">
        <f>operation_exp!I6</f>
        <v>-15551158.736974753</v>
      </c>
      <c r="D6" s="18">
        <f t="shared" si="0"/>
        <v>-15551158.736974753</v>
      </c>
      <c r="E6" s="18">
        <f t="shared" si="1"/>
        <v>466900161.66666669</v>
      </c>
      <c r="F6" s="18">
        <f t="shared" si="2"/>
        <v>451349002.92969191</v>
      </c>
    </row>
    <row r="7" spans="1:6" x14ac:dyDescent="0.2">
      <c r="A7" s="1" t="s">
        <v>29</v>
      </c>
      <c r="B7" s="18">
        <f>operation_exp!I7</f>
        <v>-13769948.803524494</v>
      </c>
      <c r="D7" s="18">
        <f t="shared" si="0"/>
        <v>-13769948.803524494</v>
      </c>
      <c r="E7" s="18">
        <f t="shared" si="1"/>
        <v>451349002.92969191</v>
      </c>
      <c r="F7" s="18">
        <f t="shared" si="2"/>
        <v>437579054.12616742</v>
      </c>
    </row>
    <row r="8" spans="1:6" x14ac:dyDescent="0.2">
      <c r="A8" s="1" t="s">
        <v>30</v>
      </c>
      <c r="B8" s="18">
        <f>operation_exp!I8</f>
        <v>-11047822.38808416</v>
      </c>
      <c r="D8" s="18">
        <f t="shared" si="0"/>
        <v>-11047822.38808416</v>
      </c>
      <c r="E8" s="18">
        <f t="shared" si="1"/>
        <v>437579054.12616742</v>
      </c>
      <c r="F8" s="18">
        <f t="shared" si="2"/>
        <v>426531231.73808324</v>
      </c>
    </row>
    <row r="9" spans="1:6" x14ac:dyDescent="0.2">
      <c r="A9" s="1" t="s">
        <v>31</v>
      </c>
      <c r="B9" s="18">
        <f>operation_exp!I9</f>
        <v>-2322872.770967735</v>
      </c>
      <c r="D9" s="18">
        <f t="shared" si="0"/>
        <v>-2322872.770967735</v>
      </c>
      <c r="E9" s="18">
        <f t="shared" si="1"/>
        <v>426531231.73808324</v>
      </c>
      <c r="F9" s="18">
        <f t="shared" si="2"/>
        <v>424208358.96711552</v>
      </c>
    </row>
    <row r="10" spans="1:6" x14ac:dyDescent="0.2">
      <c r="A10" s="1" t="s">
        <v>32</v>
      </c>
      <c r="B10" s="18">
        <f>operation_exp!I10</f>
        <v>-707912.67642618716</v>
      </c>
      <c r="D10" s="18">
        <f t="shared" si="0"/>
        <v>-707912.67642618716</v>
      </c>
      <c r="E10" s="18">
        <f t="shared" si="1"/>
        <v>424208358.96711552</v>
      </c>
      <c r="F10" s="18">
        <f t="shared" si="2"/>
        <v>423500446.29068935</v>
      </c>
    </row>
    <row r="11" spans="1:6" x14ac:dyDescent="0.2">
      <c r="A11" s="1" t="s">
        <v>33</v>
      </c>
      <c r="B11" s="18">
        <f>operation_exp!I11</f>
        <v>2759061.006952418</v>
      </c>
      <c r="D11" s="18">
        <f t="shared" si="0"/>
        <v>2759061.006952418</v>
      </c>
      <c r="E11" s="18">
        <f t="shared" si="1"/>
        <v>423500446.29068935</v>
      </c>
      <c r="F11" s="18">
        <f t="shared" si="2"/>
        <v>426259507.29764175</v>
      </c>
    </row>
    <row r="12" spans="1:6" x14ac:dyDescent="0.2">
      <c r="A12" s="1" t="s">
        <v>34</v>
      </c>
      <c r="B12" s="18">
        <f>operation_exp!I12</f>
        <v>17133316.800391786</v>
      </c>
      <c r="D12" s="18">
        <f t="shared" si="0"/>
        <v>17133316.800391786</v>
      </c>
      <c r="E12" s="18">
        <f t="shared" si="1"/>
        <v>426259507.29764175</v>
      </c>
      <c r="F12" s="18">
        <f t="shared" si="2"/>
        <v>443392824.09803355</v>
      </c>
    </row>
    <row r="13" spans="1:6" x14ac:dyDescent="0.2">
      <c r="A13" s="1" t="s">
        <v>35</v>
      </c>
      <c r="B13" s="18">
        <f>operation_exp!I13</f>
        <v>8920895.6475812066</v>
      </c>
      <c r="D13" s="18">
        <f t="shared" si="0"/>
        <v>8920895.6475812066</v>
      </c>
      <c r="E13" s="18">
        <f t="shared" si="1"/>
        <v>443392824.09803355</v>
      </c>
      <c r="F13" s="18">
        <f t="shared" si="2"/>
        <v>452313719.74561477</v>
      </c>
    </row>
    <row r="14" spans="1:6" x14ac:dyDescent="0.2">
      <c r="A14" s="1" t="s">
        <v>24</v>
      </c>
      <c r="B14" s="18">
        <f>operation_exp!I14</f>
        <v>12526262.183931537</v>
      </c>
      <c r="C14">
        <v>-40000</v>
      </c>
      <c r="D14" s="18">
        <f t="shared" si="0"/>
        <v>12486262.183931537</v>
      </c>
      <c r="E14" s="18">
        <f t="shared" si="1"/>
        <v>452313719.74561477</v>
      </c>
      <c r="F14" s="18">
        <f t="shared" si="2"/>
        <v>464799981.9295463</v>
      </c>
    </row>
    <row r="15" spans="1:6" x14ac:dyDescent="0.2">
      <c r="A15" s="1" t="s">
        <v>25</v>
      </c>
      <c r="B15" s="18">
        <f>operation_exp!I15</f>
        <v>7239288.6492617186</v>
      </c>
      <c r="D15" s="18">
        <f t="shared" si="0"/>
        <v>7239288.6492617186</v>
      </c>
      <c r="E15" s="18">
        <f t="shared" si="1"/>
        <v>464799981.9295463</v>
      </c>
      <c r="F15" s="18">
        <f t="shared" si="2"/>
        <v>472039270.57880801</v>
      </c>
    </row>
    <row r="16" spans="1:6" x14ac:dyDescent="0.2">
      <c r="A16" s="1" t="s">
        <v>26</v>
      </c>
      <c r="B16" s="18">
        <f>operation_exp!I16</f>
        <v>9628638.4058079571</v>
      </c>
      <c r="D16" s="18">
        <f t="shared" si="0"/>
        <v>9628638.4058079571</v>
      </c>
      <c r="E16" s="18">
        <f t="shared" si="1"/>
        <v>472039270.57880801</v>
      </c>
      <c r="F16" s="18">
        <f t="shared" si="2"/>
        <v>481667908.98461598</v>
      </c>
    </row>
    <row r="17" spans="1:6" x14ac:dyDescent="0.2">
      <c r="A17" s="1" t="s">
        <v>27</v>
      </c>
      <c r="B17" s="18">
        <f>operation_exp!I17</f>
        <v>-5078022.2076076707</v>
      </c>
      <c r="D17" s="18">
        <f t="shared" si="0"/>
        <v>-5078022.2076076707</v>
      </c>
      <c r="E17" s="18">
        <f t="shared" si="1"/>
        <v>481667908.98461598</v>
      </c>
      <c r="F17" s="18">
        <f t="shared" si="2"/>
        <v>476589886.7770083</v>
      </c>
    </row>
    <row r="18" spans="1:6" x14ac:dyDescent="0.2">
      <c r="A18" s="1" t="s">
        <v>28</v>
      </c>
      <c r="B18" s="18">
        <f>operation_exp!I18</f>
        <v>-8483356.0764342211</v>
      </c>
      <c r="D18" s="18">
        <f t="shared" si="0"/>
        <v>-8483356.0764342211</v>
      </c>
      <c r="E18" s="18">
        <f t="shared" si="1"/>
        <v>476589886.7770083</v>
      </c>
      <c r="F18" s="18">
        <f t="shared" si="2"/>
        <v>468106530.7005741</v>
      </c>
    </row>
    <row r="19" spans="1:6" x14ac:dyDescent="0.2">
      <c r="A19" s="1" t="s">
        <v>29</v>
      </c>
      <c r="B19" s="18">
        <f>operation_exp!I19</f>
        <v>-16740541.403209938</v>
      </c>
      <c r="D19" s="18">
        <f t="shared" si="0"/>
        <v>-16740541.403209938</v>
      </c>
      <c r="E19" s="18">
        <f t="shared" si="1"/>
        <v>468106530.7005741</v>
      </c>
      <c r="F19" s="18">
        <f t="shared" si="2"/>
        <v>451365989.29736418</v>
      </c>
    </row>
    <row r="20" spans="1:6" x14ac:dyDescent="0.2">
      <c r="A20" s="1" t="s">
        <v>30</v>
      </c>
      <c r="B20" s="18">
        <f>operation_exp!I20</f>
        <v>-18027601.557417791</v>
      </c>
      <c r="D20" s="18">
        <f t="shared" si="0"/>
        <v>-18027601.557417791</v>
      </c>
      <c r="E20" s="18">
        <f t="shared" si="1"/>
        <v>451365989.29736418</v>
      </c>
      <c r="F20" s="18">
        <f t="shared" si="2"/>
        <v>433338387.73994637</v>
      </c>
    </row>
    <row r="21" spans="1:6" x14ac:dyDescent="0.2">
      <c r="A21" s="1" t="s">
        <v>31</v>
      </c>
      <c r="B21" s="18">
        <f>operation_exp!I21</f>
        <v>-17726340.120357066</v>
      </c>
      <c r="D21" s="18">
        <f t="shared" si="0"/>
        <v>-17726340.120357066</v>
      </c>
      <c r="E21" s="18">
        <f t="shared" si="1"/>
        <v>433338387.73994637</v>
      </c>
      <c r="F21" s="18">
        <f t="shared" si="2"/>
        <v>415612047.61958933</v>
      </c>
    </row>
    <row r="22" spans="1:6" x14ac:dyDescent="0.2">
      <c r="A22" s="1" t="s">
        <v>32</v>
      </c>
      <c r="B22" s="18">
        <f>operation_exp!I22</f>
        <v>-10480978.66670868</v>
      </c>
      <c r="D22" s="18">
        <f t="shared" si="0"/>
        <v>-10480978.66670868</v>
      </c>
      <c r="E22" s="18">
        <f t="shared" si="1"/>
        <v>415612047.61958933</v>
      </c>
      <c r="F22" s="18">
        <f t="shared" si="2"/>
        <v>405131068.95288062</v>
      </c>
    </row>
    <row r="23" spans="1:6" x14ac:dyDescent="0.2">
      <c r="A23" s="1" t="s">
        <v>33</v>
      </c>
      <c r="B23" s="18">
        <f>operation_exp!I23</f>
        <v>1330733.7154744368</v>
      </c>
      <c r="D23" s="18">
        <f t="shared" si="0"/>
        <v>1330733.7154744368</v>
      </c>
      <c r="E23" s="18">
        <f t="shared" si="1"/>
        <v>405131068.95288062</v>
      </c>
      <c r="F23" s="18">
        <f t="shared" si="2"/>
        <v>406461802.66835505</v>
      </c>
    </row>
    <row r="24" spans="1:6" x14ac:dyDescent="0.2">
      <c r="A24" s="1" t="s">
        <v>34</v>
      </c>
      <c r="B24" s="18">
        <f>operation_exp!I24</f>
        <v>16340761.562955689</v>
      </c>
      <c r="D24" s="18">
        <f t="shared" si="0"/>
        <v>16340761.562955689</v>
      </c>
      <c r="E24" s="18">
        <f t="shared" si="1"/>
        <v>406461802.66835505</v>
      </c>
      <c r="F24" s="18">
        <f t="shared" si="2"/>
        <v>422802564.23131073</v>
      </c>
    </row>
    <row r="25" spans="1:6" x14ac:dyDescent="0.2">
      <c r="A25" s="1" t="s">
        <v>35</v>
      </c>
      <c r="B25" s="18">
        <f>operation_exp!I25</f>
        <v>7954495.8197017191</v>
      </c>
      <c r="D25" s="18">
        <f t="shared" si="0"/>
        <v>7954495.8197017191</v>
      </c>
      <c r="E25" s="18">
        <f t="shared" si="1"/>
        <v>422802564.23131073</v>
      </c>
      <c r="F25" s="18">
        <f t="shared" si="2"/>
        <v>430757060.05101246</v>
      </c>
    </row>
    <row r="26" spans="1:6" x14ac:dyDescent="0.2">
      <c r="A26" s="1" t="s">
        <v>24</v>
      </c>
      <c r="B26" s="18">
        <f>operation_exp!I26</f>
        <v>21637226.365187414</v>
      </c>
      <c r="D26" s="18">
        <f t="shared" si="0"/>
        <v>21637226.365187414</v>
      </c>
      <c r="E26" s="18">
        <f t="shared" si="1"/>
        <v>430757060.05101246</v>
      </c>
      <c r="F26" s="18">
        <f t="shared" si="2"/>
        <v>452394286.41619986</v>
      </c>
    </row>
    <row r="27" spans="1:6" x14ac:dyDescent="0.2">
      <c r="A27" s="1" t="s">
        <v>25</v>
      </c>
      <c r="B27" s="18">
        <f>operation_exp!I27</f>
        <v>18651506.872752644</v>
      </c>
      <c r="D27" s="18">
        <f t="shared" si="0"/>
        <v>18651506.872752644</v>
      </c>
      <c r="E27" s="18">
        <f t="shared" si="1"/>
        <v>452394286.41619986</v>
      </c>
      <c r="F27" s="18">
        <f t="shared" si="2"/>
        <v>471045793.28895253</v>
      </c>
    </row>
    <row r="28" spans="1:6" x14ac:dyDescent="0.2">
      <c r="A28" s="1" t="s">
        <v>26</v>
      </c>
      <c r="B28" s="18">
        <f>operation_exp!I28</f>
        <v>16592738.30810212</v>
      </c>
      <c r="D28" s="18">
        <f t="shared" si="0"/>
        <v>16592738.30810212</v>
      </c>
      <c r="E28" s="18">
        <f t="shared" si="1"/>
        <v>471045793.28895253</v>
      </c>
      <c r="F28" s="18">
        <f t="shared" si="2"/>
        <v>487638531.59705466</v>
      </c>
    </row>
    <row r="29" spans="1:6" x14ac:dyDescent="0.2">
      <c r="A29" s="1" t="s">
        <v>27</v>
      </c>
      <c r="B29" s="18">
        <f>operation_exp!I29</f>
        <v>17472477.473130383</v>
      </c>
      <c r="D29" s="18">
        <f t="shared" si="0"/>
        <v>17472477.473130383</v>
      </c>
      <c r="E29" s="18">
        <f t="shared" si="1"/>
        <v>487638531.59705466</v>
      </c>
      <c r="F29" s="18">
        <f t="shared" si="2"/>
        <v>505111009.07018507</v>
      </c>
    </row>
    <row r="30" spans="1:6" x14ac:dyDescent="0.2">
      <c r="A30" s="1" t="s">
        <v>28</v>
      </c>
      <c r="B30" s="18">
        <f>operation_exp!I30</f>
        <v>9700884.4363721404</v>
      </c>
      <c r="D30" s="18">
        <f t="shared" si="0"/>
        <v>9700884.4363721404</v>
      </c>
      <c r="E30" s="18">
        <f t="shared" si="1"/>
        <v>505111009.07018507</v>
      </c>
      <c r="F30" s="18">
        <f t="shared" si="2"/>
        <v>514811893.50655723</v>
      </c>
    </row>
    <row r="31" spans="1:6" x14ac:dyDescent="0.2">
      <c r="A31" s="1" t="s">
        <v>29</v>
      </c>
      <c r="B31" s="18">
        <f>operation_exp!I31</f>
        <v>7583627.5435920497</v>
      </c>
      <c r="D31" s="18">
        <f t="shared" si="0"/>
        <v>7583627.5435920497</v>
      </c>
      <c r="E31" s="18">
        <f t="shared" si="1"/>
        <v>514811893.50655723</v>
      </c>
      <c r="F31" s="18">
        <f t="shared" si="2"/>
        <v>522395521.05014926</v>
      </c>
    </row>
    <row r="32" spans="1:6" x14ac:dyDescent="0.2">
      <c r="A32" s="1" t="s">
        <v>30</v>
      </c>
      <c r="B32" s="18">
        <f>operation_exp!I32</f>
        <v>2097689.9273955785</v>
      </c>
      <c r="D32" s="18">
        <f t="shared" si="0"/>
        <v>2097689.9273955785</v>
      </c>
      <c r="E32" s="18">
        <f t="shared" si="1"/>
        <v>522395521.05014926</v>
      </c>
      <c r="F32" s="18">
        <f t="shared" si="2"/>
        <v>524493210.97754484</v>
      </c>
    </row>
    <row r="33" spans="1:6" x14ac:dyDescent="0.2">
      <c r="A33" s="1" t="s">
        <v>31</v>
      </c>
      <c r="B33" s="18">
        <f>operation_exp!I33</f>
        <v>141167.46927343006</v>
      </c>
      <c r="D33" s="18">
        <f t="shared" si="0"/>
        <v>141167.46927343006</v>
      </c>
      <c r="E33" s="18">
        <f t="shared" si="1"/>
        <v>524493210.97754484</v>
      </c>
      <c r="F33" s="18">
        <f t="shared" si="2"/>
        <v>524634378.44681829</v>
      </c>
    </row>
    <row r="34" spans="1:6" x14ac:dyDescent="0.2">
      <c r="A34" s="1" t="s">
        <v>32</v>
      </c>
      <c r="B34" s="18">
        <f>operation_exp!I34</f>
        <v>142097.46927343006</v>
      </c>
      <c r="D34" s="18">
        <f t="shared" si="0"/>
        <v>142097.46927343006</v>
      </c>
      <c r="E34" s="18">
        <f t="shared" si="1"/>
        <v>524634378.44681829</v>
      </c>
      <c r="F34" s="18">
        <f t="shared" si="2"/>
        <v>524776475.91609174</v>
      </c>
    </row>
    <row r="36" spans="1:6" x14ac:dyDescent="0.2">
      <c r="C3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final_phase2_full_costs</vt:lpstr>
      <vt:lpstr>Assumptions</vt:lpstr>
      <vt:lpstr>calculation_sheet</vt:lpstr>
      <vt:lpstr>operation_exp</vt:lpstr>
      <vt:lpstr>final_phase1_full_costs</vt:lpstr>
      <vt:lpstr>Balance_Sheet</vt:lpstr>
      <vt:lpstr>Income_Statement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Ganeshalingam, Sriram</cp:lastModifiedBy>
  <dcterms:created xsi:type="dcterms:W3CDTF">2025-12-09T03:22:51Z</dcterms:created>
  <dcterms:modified xsi:type="dcterms:W3CDTF">2025-12-11T19:13:47Z</dcterms:modified>
</cp:coreProperties>
</file>